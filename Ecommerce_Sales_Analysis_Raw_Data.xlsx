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D:\excel_pratices_project\"/>
    </mc:Choice>
  </mc:AlternateContent>
  <xr:revisionPtr revIDLastSave="0" documentId="13_ncr:1_{101C7953-5CFC-48C4-9DBD-390D33C38130}" xr6:coauthVersionLast="36" xr6:coauthVersionMax="36" xr10:uidLastSave="{00000000-0000-0000-0000-000000000000}"/>
  <bookViews>
    <workbookView xWindow="0" yWindow="0" windowWidth="17256" windowHeight="5640" xr2:uid="{00000000-000D-0000-FFFF-FFFF00000000}"/>
  </bookViews>
  <sheets>
    <sheet name="Dashboard" sheetId="11" r:id="rId1"/>
    <sheet name="Raw_Data" sheetId="1" r:id="rId2"/>
    <sheet name="Project_Guide" sheetId="2" r:id="rId3"/>
    <sheet name="Monthly sales and profit analys" sheetId="8" r:id="rId4"/>
    <sheet name="Analyse monthly performance" sheetId="9" r:id="rId5"/>
    <sheet name="Discount impact analysis" sheetId="10" r:id="rId6"/>
    <sheet name="Regional Performance" sheetId="12" r:id="rId7"/>
    <sheet name="Product Performance" sheetId="13" r:id="rId8"/>
    <sheet name="cleaned_data" sheetId="4" r:id="rId9"/>
  </sheets>
  <definedNames>
    <definedName name="_xlnm._FilterDatabase" localSheetId="8" hidden="1">cleaned_data!$O$1:$O$114</definedName>
    <definedName name="_xlnm._FilterDatabase" localSheetId="1" hidden="1">Raw_Data!$A$1:$A$102</definedName>
    <definedName name="Arun_Kumar">cleaned_data!#REF!</definedName>
    <definedName name="Slicer_Order_Status">#N/A</definedName>
    <definedName name="Slicer_Product">#N/A</definedName>
    <definedName name="Slicer_Region">#N/A</definedName>
  </definedNames>
  <calcPr calcId="191029"/>
  <pivotCaches>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B5" i="11" l="1"/>
  <c r="K7" i="11" l="1"/>
  <c r="E5" i="10"/>
  <c r="E6" i="10"/>
  <c r="E7" i="10"/>
  <c r="E8" i="10"/>
  <c r="E9" i="10"/>
  <c r="E10" i="10"/>
  <c r="E4" i="10"/>
  <c r="F14" i="9"/>
  <c r="F5" i="9"/>
  <c r="F6" i="9"/>
  <c r="F7" i="9"/>
  <c r="F8" i="9"/>
  <c r="F9" i="9"/>
  <c r="F10" i="9"/>
  <c r="F11" i="9"/>
  <c r="F12" i="9"/>
  <c r="F13" i="9"/>
  <c r="F4" i="9"/>
  <c r="E14" i="8"/>
  <c r="E13" i="8"/>
  <c r="E12" i="8"/>
  <c r="E11" i="8"/>
  <c r="E10" i="8"/>
  <c r="E9" i="8"/>
  <c r="E8" i="8"/>
  <c r="E7" i="8"/>
  <c r="E6" i="8"/>
  <c r="E5" i="8"/>
  <c r="L3" i="4" l="1"/>
  <c r="M3" i="4" s="1"/>
  <c r="L4" i="4"/>
  <c r="M4" i="4" s="1"/>
  <c r="L5" i="4"/>
  <c r="M5" i="4" s="1"/>
  <c r="L6" i="4"/>
  <c r="M6" i="4" s="1"/>
  <c r="L7" i="4"/>
  <c r="M7" i="4" s="1"/>
  <c r="L8" i="4"/>
  <c r="M8" i="4" s="1"/>
  <c r="L9" i="4"/>
  <c r="M9" i="4" s="1"/>
  <c r="L10" i="4"/>
  <c r="M10" i="4" s="1"/>
  <c r="L11" i="4"/>
  <c r="M11" i="4" s="1"/>
  <c r="L12" i="4"/>
  <c r="M12" i="4" s="1"/>
  <c r="L13" i="4"/>
  <c r="M13" i="4" s="1"/>
  <c r="L14" i="4"/>
  <c r="M14" i="4" s="1"/>
  <c r="L15" i="4"/>
  <c r="M15" i="4" s="1"/>
  <c r="L16" i="4"/>
  <c r="M16" i="4" s="1"/>
  <c r="L17" i="4"/>
  <c r="M17" i="4" s="1"/>
  <c r="L18" i="4"/>
  <c r="M18" i="4" s="1"/>
  <c r="L19" i="4"/>
  <c r="M19" i="4" s="1"/>
  <c r="L20" i="4"/>
  <c r="M20" i="4" s="1"/>
  <c r="L21" i="4"/>
  <c r="M21" i="4" s="1"/>
  <c r="L22" i="4"/>
  <c r="M22" i="4" s="1"/>
  <c r="L23" i="4"/>
  <c r="M23" i="4" s="1"/>
  <c r="L24" i="4"/>
  <c r="M24" i="4" s="1"/>
  <c r="L25" i="4"/>
  <c r="M25" i="4" s="1"/>
  <c r="L26" i="4"/>
  <c r="M26" i="4" s="1"/>
  <c r="L27" i="4"/>
  <c r="M27" i="4" s="1"/>
  <c r="L28" i="4"/>
  <c r="M28" i="4" s="1"/>
  <c r="L29" i="4"/>
  <c r="L30" i="4"/>
  <c r="M30" i="4" s="1"/>
  <c r="L31" i="4"/>
  <c r="M31" i="4" s="1"/>
  <c r="L32" i="4"/>
  <c r="L33" i="4"/>
  <c r="M33" i="4" s="1"/>
  <c r="L34" i="4"/>
  <c r="M34" i="4" s="1"/>
  <c r="L35" i="4"/>
  <c r="M35" i="4" s="1"/>
  <c r="L36" i="4"/>
  <c r="M36" i="4" s="1"/>
  <c r="L37" i="4"/>
  <c r="M37" i="4" s="1"/>
  <c r="L38" i="4"/>
  <c r="M38" i="4" s="1"/>
  <c r="L39" i="4"/>
  <c r="M39" i="4" s="1"/>
  <c r="L40" i="4"/>
  <c r="M40" i="4" s="1"/>
  <c r="L41" i="4"/>
  <c r="M41" i="4" s="1"/>
  <c r="L42" i="4"/>
  <c r="M42" i="4" s="1"/>
  <c r="L43" i="4"/>
  <c r="M43" i="4" s="1"/>
  <c r="L44" i="4"/>
  <c r="M44" i="4" s="1"/>
  <c r="L45" i="4"/>
  <c r="M45" i="4" s="1"/>
  <c r="L46" i="4"/>
  <c r="M46" i="4" s="1"/>
  <c r="L47" i="4"/>
  <c r="M47" i="4" s="1"/>
  <c r="L48" i="4"/>
  <c r="M48" i="4" s="1"/>
  <c r="L49" i="4"/>
  <c r="M49" i="4" s="1"/>
  <c r="L50" i="4"/>
  <c r="M50" i="4" s="1"/>
  <c r="L51" i="4"/>
  <c r="M51" i="4" s="1"/>
  <c r="L52" i="4"/>
  <c r="M52" i="4" s="1"/>
  <c r="L53" i="4"/>
  <c r="M53" i="4" s="1"/>
  <c r="L54" i="4"/>
  <c r="M54" i="4" s="1"/>
  <c r="L55" i="4"/>
  <c r="M55" i="4" s="1"/>
  <c r="L56" i="4"/>
  <c r="M56" i="4" s="1"/>
  <c r="L57" i="4"/>
  <c r="M57" i="4" s="1"/>
  <c r="L58" i="4"/>
  <c r="M58" i="4" s="1"/>
  <c r="L59" i="4"/>
  <c r="M59" i="4" s="1"/>
  <c r="L60" i="4"/>
  <c r="M60" i="4" s="1"/>
  <c r="L61" i="4"/>
  <c r="M61" i="4" s="1"/>
  <c r="L62" i="4"/>
  <c r="M62" i="4" s="1"/>
  <c r="L63" i="4"/>
  <c r="M63" i="4" s="1"/>
  <c r="L64" i="4"/>
  <c r="M64" i="4" s="1"/>
  <c r="L65" i="4"/>
  <c r="M65" i="4" s="1"/>
  <c r="L66" i="4"/>
  <c r="M66" i="4" s="1"/>
  <c r="L67" i="4"/>
  <c r="M67" i="4" s="1"/>
  <c r="L68" i="4"/>
  <c r="M68" i="4" s="1"/>
  <c r="L69" i="4"/>
  <c r="M69" i="4" s="1"/>
  <c r="L70" i="4"/>
  <c r="M70" i="4" s="1"/>
  <c r="L71" i="4"/>
  <c r="M71" i="4" s="1"/>
  <c r="L72" i="4"/>
  <c r="M72" i="4" s="1"/>
  <c r="L73" i="4"/>
  <c r="M73" i="4" s="1"/>
  <c r="L74" i="4"/>
  <c r="M74" i="4" s="1"/>
  <c r="L75" i="4"/>
  <c r="M75" i="4" s="1"/>
  <c r="L76" i="4"/>
  <c r="M76" i="4" s="1"/>
  <c r="L77" i="4"/>
  <c r="M77" i="4" s="1"/>
  <c r="L78" i="4"/>
  <c r="M78" i="4" s="1"/>
  <c r="L79" i="4"/>
  <c r="M79" i="4" s="1"/>
  <c r="L80" i="4"/>
  <c r="M80" i="4" s="1"/>
  <c r="L81" i="4"/>
  <c r="M81" i="4" s="1"/>
  <c r="L82" i="4"/>
  <c r="M82" i="4" s="1"/>
  <c r="L83" i="4"/>
  <c r="M83" i="4" s="1"/>
  <c r="L84" i="4"/>
  <c r="M84" i="4" s="1"/>
  <c r="L85" i="4"/>
  <c r="M85" i="4" s="1"/>
  <c r="L86" i="4"/>
  <c r="M86" i="4" s="1"/>
  <c r="L87" i="4"/>
  <c r="M87" i="4" s="1"/>
  <c r="L88" i="4"/>
  <c r="M88" i="4" s="1"/>
  <c r="L89" i="4"/>
  <c r="M89" i="4" s="1"/>
  <c r="L2" i="4"/>
  <c r="M2" i="4" l="1"/>
  <c r="E7" i="11"/>
  <c r="H7" i="11" s="1"/>
  <c r="M29" i="4"/>
  <c r="L91" i="4"/>
  <c r="M32" i="4"/>
  <c r="E113" i="1"/>
  <c r="E112" i="1"/>
  <c r="D1" i="4" l="1"/>
</calcChain>
</file>

<file path=xl/sharedStrings.xml><?xml version="1.0" encoding="utf-8"?>
<sst xmlns="http://schemas.openxmlformats.org/spreadsheetml/2006/main" count="1915" uniqueCount="317">
  <si>
    <t>Order_ID</t>
  </si>
  <si>
    <t>Order_Date</t>
  </si>
  <si>
    <t>Customer_ID</t>
  </si>
  <si>
    <t>Customer_Name</t>
  </si>
  <si>
    <t>Product</t>
  </si>
  <si>
    <t>Category</t>
  </si>
  <si>
    <t>Region</t>
  </si>
  <si>
    <t>Customer_Segment</t>
  </si>
  <si>
    <t>Quantity</t>
  </si>
  <si>
    <t>Sales_Amount</t>
  </si>
  <si>
    <t>Cost</t>
  </si>
  <si>
    <t>Discount</t>
  </si>
  <si>
    <t>Order_Status</t>
  </si>
  <si>
    <t>Payment_Mode</t>
  </si>
  <si>
    <t>ORD0001</t>
  </si>
  <si>
    <t>2026-02-27</t>
  </si>
  <si>
    <t>C1024</t>
  </si>
  <si>
    <t>Priya S</t>
  </si>
  <si>
    <t>Laptop</t>
  </si>
  <si>
    <t>Electronics</t>
  </si>
  <si>
    <t>North</t>
  </si>
  <si>
    <t>Small Business</t>
  </si>
  <si>
    <t>Completed</t>
  </si>
  <si>
    <t>UPI</t>
  </si>
  <si>
    <t>ORD0002</t>
  </si>
  <si>
    <t>2026-01-16</t>
  </si>
  <si>
    <t>C1001</t>
  </si>
  <si>
    <t>Anita R</t>
  </si>
  <si>
    <t>Wireless Mouse</t>
  </si>
  <si>
    <t>West</t>
  </si>
  <si>
    <t>Consumer</t>
  </si>
  <si>
    <t>Debit Card</t>
  </si>
  <si>
    <t>ORD0003</t>
  </si>
  <si>
    <t>2026-01-04</t>
  </si>
  <si>
    <t>C1007</t>
  </si>
  <si>
    <t>Meena P</t>
  </si>
  <si>
    <t>Headphones</t>
  </si>
  <si>
    <t>ORD0004</t>
  </si>
  <si>
    <t>2026-07-03</t>
  </si>
  <si>
    <t>Sneha T</t>
  </si>
  <si>
    <t>Desk</t>
  </si>
  <si>
    <t>Furniture</t>
  </si>
  <si>
    <t>Corporate</t>
  </si>
  <si>
    <t>ORD0005</t>
  </si>
  <si>
    <t>2026-07-05</t>
  </si>
  <si>
    <t>C1022</t>
  </si>
  <si>
    <t>Jeans</t>
  </si>
  <si>
    <t>Fashion</t>
  </si>
  <si>
    <t>East</t>
  </si>
  <si>
    <t>ORD0006</t>
  </si>
  <si>
    <t>2026-07-14</t>
  </si>
  <si>
    <t>C1006</t>
  </si>
  <si>
    <t xml:space="preserve">  Arun Kumar  </t>
  </si>
  <si>
    <t>Office Chair</t>
  </si>
  <si>
    <t>Cancelled</t>
  </si>
  <si>
    <t>ORD0007</t>
  </si>
  <si>
    <t>2026-02-06</t>
  </si>
  <si>
    <t>Credit Card</t>
  </si>
  <si>
    <t>ORD0008</t>
  </si>
  <si>
    <t>2026-06-16</t>
  </si>
  <si>
    <t>C1013</t>
  </si>
  <si>
    <t>Vijay K</t>
  </si>
  <si>
    <t>ORD0009</t>
  </si>
  <si>
    <t>2026-04-19</t>
  </si>
  <si>
    <t>C1009</t>
  </si>
  <si>
    <t>Rahul M</t>
  </si>
  <si>
    <t>Running Shoes</t>
  </si>
  <si>
    <t>Footwear</t>
  </si>
  <si>
    <t>South</t>
  </si>
  <si>
    <t>ORD0010</t>
  </si>
  <si>
    <t>2026-08-08</t>
  </si>
  <si>
    <t>C1005</t>
  </si>
  <si>
    <t>ORD0011</t>
  </si>
  <si>
    <t>2026-03-23</t>
  </si>
  <si>
    <t>C1020</t>
  </si>
  <si>
    <t>Backpack</t>
  </si>
  <si>
    <t>Accessories</t>
  </si>
  <si>
    <t>ORD0012</t>
  </si>
  <si>
    <t>2026-05-17</t>
  </si>
  <si>
    <t>C1015</t>
  </si>
  <si>
    <t>Arun Kumar</t>
  </si>
  <si>
    <t>Returned</t>
  </si>
  <si>
    <t>ORD0013</t>
  </si>
  <si>
    <t>2026-09-17</t>
  </si>
  <si>
    <t xml:space="preserve">Electronics </t>
  </si>
  <si>
    <t>ORD0014</t>
  </si>
  <si>
    <t>2026-06-15</t>
  </si>
  <si>
    <t>C1029</t>
  </si>
  <si>
    <t>ORD0015</t>
  </si>
  <si>
    <t>2026-02-13</t>
  </si>
  <si>
    <t>Net Banking</t>
  </si>
  <si>
    <t>ORD0016</t>
  </si>
  <si>
    <t>Casual Shirt</t>
  </si>
  <si>
    <t>ORD0017</t>
  </si>
  <si>
    <t>2026-05-07</t>
  </si>
  <si>
    <t>C1018</t>
  </si>
  <si>
    <t>Smartphone</t>
  </si>
  <si>
    <t>ORD0018</t>
  </si>
  <si>
    <t>2026-04-28</t>
  </si>
  <si>
    <t>C1008</t>
  </si>
  <si>
    <t>ORD0019</t>
  </si>
  <si>
    <t>2026-08-31</t>
  </si>
  <si>
    <t>C1004</t>
  </si>
  <si>
    <t>Karthik S</t>
  </si>
  <si>
    <t>ORD0020</t>
  </si>
  <si>
    <t>2026-01-28</t>
  </si>
  <si>
    <t>C1026</t>
  </si>
  <si>
    <t>ORD0021</t>
  </si>
  <si>
    <t>2026-03-13</t>
  </si>
  <si>
    <t>C1028</t>
  </si>
  <si>
    <t>electronic</t>
  </si>
  <si>
    <t>ORD0022</t>
  </si>
  <si>
    <t>2026-01-08</t>
  </si>
  <si>
    <t>C1016</t>
  </si>
  <si>
    <t>ORD0023</t>
  </si>
  <si>
    <t>2026-01-02</t>
  </si>
  <si>
    <t>C1023</t>
  </si>
  <si>
    <t>ORD0024</t>
  </si>
  <si>
    <t>2026-01-30</t>
  </si>
  <si>
    <t>C1002</t>
  </si>
  <si>
    <t>ORD0025</t>
  </si>
  <si>
    <t>C1003</t>
  </si>
  <si>
    <t>ORD0026</t>
  </si>
  <si>
    <t>2026-01-21</t>
  </si>
  <si>
    <t>C1019</t>
  </si>
  <si>
    <t>ORD0027</t>
  </si>
  <si>
    <t>2026-05-03</t>
  </si>
  <si>
    <t>C1010</t>
  </si>
  <si>
    <t>ORD0028</t>
  </si>
  <si>
    <t>2026-02-21</t>
  </si>
  <si>
    <t>ORD0029</t>
  </si>
  <si>
    <t>15/04/2026</t>
  </si>
  <si>
    <t>ORD0030</t>
  </si>
  <si>
    <t>2026-05-16</t>
  </si>
  <si>
    <t>ORD0031</t>
  </si>
  <si>
    <t>ORD0032</t>
  </si>
  <si>
    <t>2026-01-23</t>
  </si>
  <si>
    <t>ORD0033</t>
  </si>
  <si>
    <t>2026-01-05</t>
  </si>
  <si>
    <t>ORD0034</t>
  </si>
  <si>
    <t>2026-08-09</t>
  </si>
  <si>
    <t>C1030</t>
  </si>
  <si>
    <t>ORD0035</t>
  </si>
  <si>
    <t>2026-02-22</t>
  </si>
  <si>
    <t>ORD0036</t>
  </si>
  <si>
    <t>2026-01-13</t>
  </si>
  <si>
    <t>ORD0037</t>
  </si>
  <si>
    <t>2026-07-15</t>
  </si>
  <si>
    <t>ORD0038</t>
  </si>
  <si>
    <t>ORD0039</t>
  </si>
  <si>
    <t>2026-06-19</t>
  </si>
  <si>
    <t>ORD0040</t>
  </si>
  <si>
    <t>2026-06-10</t>
  </si>
  <si>
    <t>ORD0041</t>
  </si>
  <si>
    <t>2026-01-01</t>
  </si>
  <si>
    <t>ORD0042</t>
  </si>
  <si>
    <t>C1014</t>
  </si>
  <si>
    <t>ORD0043</t>
  </si>
  <si>
    <t>2026-04-09</t>
  </si>
  <si>
    <t>ORD0044</t>
  </si>
  <si>
    <t>2026-05-27</t>
  </si>
  <si>
    <t>C1011</t>
  </si>
  <si>
    <t>ORD0045</t>
  </si>
  <si>
    <t>2026-09-19</t>
  </si>
  <si>
    <t>C1017</t>
  </si>
  <si>
    <t>ORD0046</t>
  </si>
  <si>
    <t>2026-04-26</t>
  </si>
  <si>
    <t>ORD0047</t>
  </si>
  <si>
    <t>2026-07-16</t>
  </si>
  <si>
    <t>ORD0048</t>
  </si>
  <si>
    <t>2026-09-23</t>
  </si>
  <si>
    <t>ORD0049</t>
  </si>
  <si>
    <t>2026-08-15</t>
  </si>
  <si>
    <t>ORD0050</t>
  </si>
  <si>
    <t>2026-05-13</t>
  </si>
  <si>
    <t>ORD0051</t>
  </si>
  <si>
    <t>2026-05-01</t>
  </si>
  <si>
    <t>ORD0052</t>
  </si>
  <si>
    <t>2026-04-20</t>
  </si>
  <si>
    <t>ORD0053</t>
  </si>
  <si>
    <t>2026-01-11</t>
  </si>
  <si>
    <t>C1012</t>
  </si>
  <si>
    <t>ORD0054</t>
  </si>
  <si>
    <t>2026-09-07</t>
  </si>
  <si>
    <t>ORD0055</t>
  </si>
  <si>
    <t>2026-03-07</t>
  </si>
  <si>
    <t>ORD0056</t>
  </si>
  <si>
    <t>2026-08-25</t>
  </si>
  <si>
    <t>ORD0057</t>
  </si>
  <si>
    <t>2026-05-23</t>
  </si>
  <si>
    <t>ORD0058</t>
  </si>
  <si>
    <t>ORD0059</t>
  </si>
  <si>
    <t>2026-04-22</t>
  </si>
  <si>
    <t>ORD0060</t>
  </si>
  <si>
    <t>2026-06-09</t>
  </si>
  <si>
    <t>ORD0061</t>
  </si>
  <si>
    <t>2026-03-03</t>
  </si>
  <si>
    <t>ORD0062</t>
  </si>
  <si>
    <t>2026-01-07</t>
  </si>
  <si>
    <t>ORD0063</t>
  </si>
  <si>
    <t>2026-09-05</t>
  </si>
  <si>
    <t>ORD0064</t>
  </si>
  <si>
    <t>2026-08-26</t>
  </si>
  <si>
    <t>ORD0065</t>
  </si>
  <si>
    <t>2026-07-01</t>
  </si>
  <si>
    <t>ORD0066</t>
  </si>
  <si>
    <t>2026-05-04</t>
  </si>
  <si>
    <t>ORD0067</t>
  </si>
  <si>
    <t>2026-05-31</t>
  </si>
  <si>
    <t>ORD0068</t>
  </si>
  <si>
    <t>2026-08-06</t>
  </si>
  <si>
    <t>ORD0069</t>
  </si>
  <si>
    <t>2026-06-11</t>
  </si>
  <si>
    <t>ORD0070</t>
  </si>
  <si>
    <t>ORD0071</t>
  </si>
  <si>
    <t>2026-05-30</t>
  </si>
  <si>
    <t>ORD0072</t>
  </si>
  <si>
    <t>2026-04-05</t>
  </si>
  <si>
    <t>ORD0073</t>
  </si>
  <si>
    <t>2026-03-19</t>
  </si>
  <si>
    <t>ORD0074</t>
  </si>
  <si>
    <t>2026-09-25</t>
  </si>
  <si>
    <t>ORD0075</t>
  </si>
  <si>
    <t>2026-02-20</t>
  </si>
  <si>
    <t>ORD0076</t>
  </si>
  <si>
    <t>2026/08/17</t>
  </si>
  <si>
    <t>ORD0077</t>
  </si>
  <si>
    <t>2026-08-21</t>
  </si>
  <si>
    <t>C1021</t>
  </si>
  <si>
    <t>ORD0078</t>
  </si>
  <si>
    <t>2026-03-18</t>
  </si>
  <si>
    <t>ORD0079</t>
  </si>
  <si>
    <t>2026-06-05</t>
  </si>
  <si>
    <t>ORD0080</t>
  </si>
  <si>
    <t>2026-05-09</t>
  </si>
  <si>
    <t>C1027</t>
  </si>
  <si>
    <t>ORD0081</t>
  </si>
  <si>
    <t>2026-08-29</t>
  </si>
  <si>
    <t>ORD0082</t>
  </si>
  <si>
    <t>2026-07-29</t>
  </si>
  <si>
    <t>ORD0083</t>
  </si>
  <si>
    <t>2026-07-25</t>
  </si>
  <si>
    <t>ORD0084</t>
  </si>
  <si>
    <t>ORD0085</t>
  </si>
  <si>
    <t>2026-03-09</t>
  </si>
  <si>
    <t>ORD0086</t>
  </si>
  <si>
    <t>2026-07-28</t>
  </si>
  <si>
    <t>ORD0087</t>
  </si>
  <si>
    <t>2026-08-01</t>
  </si>
  <si>
    <t>ORD0088</t>
  </si>
  <si>
    <t>2026-02-05</t>
  </si>
  <si>
    <t>ORD0089</t>
  </si>
  <si>
    <t>2026-09-08</t>
  </si>
  <si>
    <t>ORD0090</t>
  </si>
  <si>
    <t>ORD0091</t>
  </si>
  <si>
    <t>2026-09-11</t>
  </si>
  <si>
    <t>ORD0092</t>
  </si>
  <si>
    <t>ORD0093</t>
  </si>
  <si>
    <t>2026-02-11</t>
  </si>
  <si>
    <t>ORD0094</t>
  </si>
  <si>
    <t>2026-05-28</t>
  </si>
  <si>
    <t>C1025</t>
  </si>
  <si>
    <t>ORD0095</t>
  </si>
  <si>
    <t>2026-01-15</t>
  </si>
  <si>
    <t>ORD0096</t>
  </si>
  <si>
    <t>2026-04-03</t>
  </si>
  <si>
    <t>ORD0097</t>
  </si>
  <si>
    <t>ORD0098</t>
  </si>
  <si>
    <t>2026-02-07</t>
  </si>
  <si>
    <t>ORD0099</t>
  </si>
  <si>
    <t>ORD0100</t>
  </si>
  <si>
    <t>2026-05-21</t>
  </si>
  <si>
    <t>Project Stage</t>
  </si>
  <si>
    <t>Your Task</t>
  </si>
  <si>
    <t>1. Business Requirement</t>
  </si>
  <si>
    <t>Understand why revenue and profit declined.</t>
  </si>
  <si>
    <t>2. Data Inspection</t>
  </si>
  <si>
    <t>Inspect columns, data types, duplicates, blanks and unusual values.</t>
  </si>
  <si>
    <t>3. Data Cleaning</t>
  </si>
  <si>
    <t>Clean data while preserving the raw sheet.</t>
  </si>
  <si>
    <t>4. KPI Analysis</t>
  </si>
  <si>
    <t>Calculate Revenue, Profit, Profit Margin, Orders, Quantity and AOV.</t>
  </si>
  <si>
    <t>5. Root Cause Analysis</t>
  </si>
  <si>
    <t>Find drivers by product, region, segment and discount.</t>
  </si>
  <si>
    <t>6. Dashboard</t>
  </si>
  <si>
    <t>Build a management dashboard.</t>
  </si>
  <si>
    <t>7. Presentation</t>
  </si>
  <si>
    <t>Present findings and recommendations.</t>
  </si>
  <si>
    <t>profit</t>
  </si>
  <si>
    <t>`</t>
  </si>
  <si>
    <t>profit margin</t>
  </si>
  <si>
    <t xml:space="preserve">overall profit margin </t>
  </si>
  <si>
    <t>Row Labels</t>
  </si>
  <si>
    <t>Grand Total</t>
  </si>
  <si>
    <t>Sum of Sales_Amount</t>
  </si>
  <si>
    <t>Sum of Cost</t>
  </si>
  <si>
    <t>Sum of profit</t>
  </si>
  <si>
    <t>Count of Order_ID</t>
  </si>
  <si>
    <t>Jan</t>
  </si>
  <si>
    <t>Feb</t>
  </si>
  <si>
    <t>Mar</t>
  </si>
  <si>
    <t>Apr</t>
  </si>
  <si>
    <t>May</t>
  </si>
  <si>
    <t>Jun</t>
  </si>
  <si>
    <t>Jul</t>
  </si>
  <si>
    <t>Aug</t>
  </si>
  <si>
    <t>Sep</t>
  </si>
  <si>
    <t>2026</t>
  </si>
  <si>
    <t>Monthly sales and profit analysis</t>
  </si>
  <si>
    <t>Total Sales</t>
  </si>
  <si>
    <t>Total profit</t>
  </si>
  <si>
    <t xml:space="preserve">Total orders Count  </t>
  </si>
  <si>
    <t>E-Commerce Sales Performance Dashboard</t>
  </si>
  <si>
    <t>Total Revenue</t>
  </si>
  <si>
    <t>Total Profit</t>
  </si>
  <si>
    <t>Profit Margin</t>
  </si>
  <si>
    <t>Completed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</si>
</sst>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F800]dddd\,\ mmmm\ dd\,\ yyyy"/>
    <numFmt numFmtId="165" formatCode="&quot;₹&quot;\ #,##0.00"/>
  </numFmts>
  <fonts count="7"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8"/>
      <color rgb="FF00B0F0"/>
      <name val="Calibri"/>
      <family val="2"/>
      <scheme val="minor"/>
    </font>
    <font>
      <b/>
      <sz val="14"/>
      <color rgb="FF00B0F0"/>
      <name val="Calibri"/>
      <family val="2"/>
      <scheme val="minor"/>
    </font>
    <font>
      <b/>
      <sz val="11"/>
      <color theme="3" tint="-0.249977111117893"/>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medium">
        <color indexed="64"/>
      </right>
      <top style="medium">
        <color indexed="64"/>
      </top>
      <bottom style="medium">
        <color indexed="64"/>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34">
    <xf numFmtId="0" fontId="0" fillId="0" borderId="0" xfId="0"/>
    <xf numFmtId="0" fontId="1" fillId="0" borderId="1" xfId="0" applyFont="1" applyBorder="1" applyAlignment="1">
      <alignment horizontal="center" vertical="top"/>
    </xf>
    <xf numFmtId="14" fontId="0" fillId="0" borderId="0" xfId="0" applyNumberFormat="1"/>
    <xf numFmtId="164" fontId="1" fillId="0" borderId="1" xfId="0" applyNumberFormat="1" applyFont="1" applyBorder="1" applyAlignment="1">
      <alignment horizontal="center" vertical="top"/>
    </xf>
    <xf numFmtId="164" fontId="0" fillId="0" borderId="0" xfId="0" applyNumberFormat="1"/>
    <xf numFmtId="9" fontId="0" fillId="0" borderId="0" xfId="1" applyFont="1"/>
    <xf numFmtId="9" fontId="1" fillId="0" borderId="1" xfId="1" applyFont="1" applyBorder="1" applyAlignment="1">
      <alignment horizontal="center" vertical="top"/>
    </xf>
    <xf numFmtId="9" fontId="0" fillId="0" borderId="2" xfId="1" applyFont="1" applyBorder="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indent="1"/>
    </xf>
    <xf numFmtId="0" fontId="0" fillId="0" borderId="0" xfId="0" applyAlignment="1">
      <alignment horizontal="center"/>
    </xf>
    <xf numFmtId="9" fontId="0" fillId="0" borderId="0" xfId="0" applyNumberFormat="1"/>
    <xf numFmtId="0" fontId="3" fillId="2" borderId="0" xfId="0" applyFont="1" applyFill="1" applyAlignment="1">
      <alignment horizontal="center"/>
    </xf>
    <xf numFmtId="10" fontId="0" fillId="0" borderId="0" xfId="0" applyNumberFormat="1"/>
    <xf numFmtId="9" fontId="0" fillId="0" borderId="0" xfId="1" applyFont="1" applyAlignment="1">
      <alignment horizontal="center"/>
    </xf>
    <xf numFmtId="9" fontId="0" fillId="2" borderId="0" xfId="1" applyFont="1" applyFill="1" applyAlignment="1">
      <alignment horizontal="center"/>
    </xf>
    <xf numFmtId="10" fontId="0" fillId="0" borderId="0" xfId="0" applyNumberFormat="1" applyAlignment="1">
      <alignment horizontal="left"/>
    </xf>
    <xf numFmtId="165" fontId="0" fillId="0" borderId="0" xfId="0" applyNumberFormat="1"/>
    <xf numFmtId="0" fontId="3"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0" fontId="0" fillId="0" borderId="1" xfId="0" applyBorder="1" applyAlignment="1">
      <alignment horizontal="center"/>
    </xf>
    <xf numFmtId="0" fontId="4" fillId="0" borderId="0" xfId="0" applyFont="1" applyAlignment="1">
      <alignment horizontal="center"/>
    </xf>
    <xf numFmtId="165" fontId="3" fillId="0" borderId="0" xfId="2" applyNumberFormat="1" applyFont="1" applyAlignment="1">
      <alignment horizontal="center"/>
    </xf>
    <xf numFmtId="0" fontId="0" fillId="0" borderId="0" xfId="0" applyBorder="1"/>
    <xf numFmtId="9" fontId="3" fillId="0" borderId="0" xfId="1" applyFont="1" applyAlignment="1"/>
    <xf numFmtId="0" fontId="0" fillId="0" borderId="0" xfId="0" applyAlignment="1"/>
    <xf numFmtId="165" fontId="5" fillId="0" borderId="0" xfId="2" applyNumberFormat="1" applyFont="1" applyAlignment="1">
      <alignment horizontal="center"/>
    </xf>
    <xf numFmtId="9" fontId="5" fillId="0" borderId="0" xfId="1" applyFont="1" applyAlignment="1"/>
    <xf numFmtId="0" fontId="5" fillId="0" borderId="0" xfId="0" applyFont="1" applyAlignment="1">
      <alignment horizontal="center"/>
    </xf>
    <xf numFmtId="165" fontId="5" fillId="3" borderId="0" xfId="2" applyNumberFormat="1" applyFont="1" applyFill="1" applyAlignment="1">
      <alignment horizontal="center"/>
    </xf>
    <xf numFmtId="0" fontId="6" fillId="0" borderId="0" xfId="0" applyFont="1" applyAlignment="1">
      <alignment horizontal="center"/>
    </xf>
  </cellXfs>
  <cellStyles count="3">
    <cellStyle name="Currency" xfId="2" builtinId="4"/>
    <cellStyle name="Normal" xfId="0" builtinId="0"/>
    <cellStyle name="Percent" xfId="1" builtinId="5"/>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5" formatCode="&quot;₹&quot;\ #,##0.00"/>
    </dxf>
    <dxf>
      <numFmt numFmtId="165" formatCode="&quot;₹&quot;\ #,##0.00"/>
    </dxf>
    <dxf>
      <numFmt numFmtId="165" formatCode="&quot;₹&quot;\ #,##0.00"/>
    </dxf>
    <dxf>
      <numFmt numFmtId="165"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[Ecommerce_Sales_Analysis_Raw_Data.xlsx]Monthly sales and profit analys!Monthly sales and profit analysis</c:name>
    <c:fmtId val="6"/>
  </c:pivotSource>
  <c:chart>
    <c:autoTitleDeleted val="0"/>
    <c:pivotFmts>
      <c:pivotFmt>
        <c:idx val="0"/>
      </c:pivotFmt>
      <c:pivotFmt>
        <c:idx val="1"/>
      </c:pivotFmt>
      <c:pivotFmt>
        <c:idx val="2"/>
      </c:pivotFmt>
      <c:pivotFmt>
        <c:idx val="3"/>
      </c:pivotFmt>
      <c:pivotFmt>
        <c:idx val="4"/>
      </c:pivotFmt>
      <c:pivotFmt>
        <c:idx val="5"/>
      </c:pivotFmt>
      <c:pivotFmt>
        <c:idx val="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s>
    <c:plotArea>
      <c:layout/>
      <c:barChart>
        <c:barDir val="col"/>
        <c:grouping val="clustered"/>
        <c:varyColors val="0"/>
        <c:ser>
          <c:idx val="0"/>
          <c:order val="0"/>
          <c:tx>
            <c:strRef>
              <c:f>'Monthly sales and profit analys'!$B$3</c:f>
              <c:strCache>
                <c:ptCount val="1"/>
                <c:pt idx="0">
                  <c:v>Total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'Monthly sales and profit analys'!$A$4:$A$14</c:f>
              <c:multiLvlStrCache>
                <c:ptCount val="9"/>
                <c:lvl>
                  <c:pt idx="0">
                    <c:v>Jan</c:v>
                  </c:pt>
                  <c:pt idx="1">
                    <c:v>Feb</c:v>
                  </c:pt>
                  <c:pt idx="2">
                    <c:v>Mar</c:v>
                  </c:pt>
                  <c:pt idx="3">
                    <c:v>Apr</c:v>
                  </c:pt>
                  <c:pt idx="4">
                    <c:v>May</c:v>
                  </c:pt>
                  <c:pt idx="5">
                    <c:v>Jun</c:v>
                  </c:pt>
                  <c:pt idx="6">
                    <c:v>Jul</c:v>
                  </c:pt>
                  <c:pt idx="7">
                    <c:v>Aug</c:v>
                  </c:pt>
                  <c:pt idx="8">
                    <c:v>Sep</c:v>
                  </c:pt>
                </c:lvl>
                <c:lvl>
                  <c:pt idx="0">
                    <c:v>2026</c:v>
                  </c:pt>
                </c:lvl>
              </c:multiLvlStrCache>
            </c:multiLvlStrRef>
          </c:cat>
          <c:val>
            <c:numRef>
              <c:f>'Monthly sales and profit analys'!$B$4:$B$14</c:f>
              <c:numCache>
                <c:formatCode>General</c:formatCode>
                <c:ptCount val="9"/>
                <c:pt idx="0">
                  <c:v>689050</c:v>
                </c:pt>
                <c:pt idx="1">
                  <c:v>473950</c:v>
                </c:pt>
                <c:pt idx="2">
                  <c:v>90460</c:v>
                </c:pt>
                <c:pt idx="3">
                  <c:v>285735</c:v>
                </c:pt>
                <c:pt idx="4">
                  <c:v>699620</c:v>
                </c:pt>
                <c:pt idx="5">
                  <c:v>222960</c:v>
                </c:pt>
                <c:pt idx="6">
                  <c:v>516080</c:v>
                </c:pt>
                <c:pt idx="7">
                  <c:v>202190</c:v>
                </c:pt>
                <c:pt idx="8">
                  <c:v>215920</c:v>
                </c:pt>
              </c:numCache>
            </c:numRef>
          </c:val>
          <c:extLst>
            <c:ext xmlns:c16="http://schemas.microsoft.com/office/drawing/2014/chart" uri="{C3380CC4-5D6E-409C-BE32-E72D297353CC}">
              <c16:uniqueId val="{00000000-FF1C-4647-BD70-9D646A53C40B}"/>
            </c:ext>
          </c:extLst>
        </c:ser>
        <c:ser>
          <c:idx val="1"/>
          <c:order val="1"/>
          <c:tx>
            <c:strRef>
              <c:f>'Monthly sales and profit analys'!$C$3</c:f>
              <c:strCache>
                <c:ptCount val="1"/>
                <c:pt idx="0">
                  <c:v>Total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'Monthly sales and profit analys'!$A$4:$A$14</c:f>
              <c:multiLvlStrCache>
                <c:ptCount val="9"/>
                <c:lvl>
                  <c:pt idx="0">
                    <c:v>Jan</c:v>
                  </c:pt>
                  <c:pt idx="1">
                    <c:v>Feb</c:v>
                  </c:pt>
                  <c:pt idx="2">
                    <c:v>Mar</c:v>
                  </c:pt>
                  <c:pt idx="3">
                    <c:v>Apr</c:v>
                  </c:pt>
                  <c:pt idx="4">
                    <c:v>May</c:v>
                  </c:pt>
                  <c:pt idx="5">
                    <c:v>Jun</c:v>
                  </c:pt>
                  <c:pt idx="6">
                    <c:v>Jul</c:v>
                  </c:pt>
                  <c:pt idx="7">
                    <c:v>Aug</c:v>
                  </c:pt>
                  <c:pt idx="8">
                    <c:v>Sep</c:v>
                  </c:pt>
                </c:lvl>
                <c:lvl>
                  <c:pt idx="0">
                    <c:v>2026</c:v>
                  </c:pt>
                </c:lvl>
              </c:multiLvlStrCache>
            </c:multiLvlStrRef>
          </c:cat>
          <c:val>
            <c:numRef>
              <c:f>'Monthly sales and profit analys'!$C$4:$C$14</c:f>
              <c:numCache>
                <c:formatCode>0.00%</c:formatCode>
                <c:ptCount val="9"/>
                <c:pt idx="0">
                  <c:v>186868.57</c:v>
                </c:pt>
                <c:pt idx="1">
                  <c:v>113888.62999999999</c:v>
                </c:pt>
                <c:pt idx="2">
                  <c:v>23898.44</c:v>
                </c:pt>
                <c:pt idx="3">
                  <c:v>88945.87999999999</c:v>
                </c:pt>
                <c:pt idx="4">
                  <c:v>71127.490000000005</c:v>
                </c:pt>
                <c:pt idx="5">
                  <c:v>55806.919999999991</c:v>
                </c:pt>
                <c:pt idx="6">
                  <c:v>155668.15</c:v>
                </c:pt>
                <c:pt idx="7">
                  <c:v>50046.119999999995</c:v>
                </c:pt>
                <c:pt idx="8">
                  <c:v>13367.089999999995</c:v>
                </c:pt>
              </c:numCache>
            </c:numRef>
          </c:val>
          <c:extLst>
            <c:ext xmlns:c16="http://schemas.microsoft.com/office/drawing/2014/chart" uri="{C3380CC4-5D6E-409C-BE32-E72D297353CC}">
              <c16:uniqueId val="{00000001-FF1C-4647-BD70-9D646A53C40B}"/>
            </c:ext>
          </c:extLst>
        </c:ser>
        <c:ser>
          <c:idx val="2"/>
          <c:order val="2"/>
          <c:tx>
            <c:strRef>
              <c:f>'Monthly sales and profit analys'!$D$3</c:f>
              <c:strCache>
                <c:ptCount val="1"/>
                <c:pt idx="0">
                  <c:v>Total orders Count  </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multiLvlStrRef>
              <c:f>'Monthly sales and profit analys'!$A$4:$A$14</c:f>
              <c:multiLvlStrCache>
                <c:ptCount val="9"/>
                <c:lvl>
                  <c:pt idx="0">
                    <c:v>Jan</c:v>
                  </c:pt>
                  <c:pt idx="1">
                    <c:v>Feb</c:v>
                  </c:pt>
                  <c:pt idx="2">
                    <c:v>Mar</c:v>
                  </c:pt>
                  <c:pt idx="3">
                    <c:v>Apr</c:v>
                  </c:pt>
                  <c:pt idx="4">
                    <c:v>May</c:v>
                  </c:pt>
                  <c:pt idx="5">
                    <c:v>Jun</c:v>
                  </c:pt>
                  <c:pt idx="6">
                    <c:v>Jul</c:v>
                  </c:pt>
                  <c:pt idx="7">
                    <c:v>Aug</c:v>
                  </c:pt>
                  <c:pt idx="8">
                    <c:v>Sep</c:v>
                  </c:pt>
                </c:lvl>
                <c:lvl>
                  <c:pt idx="0">
                    <c:v>2026</c:v>
                  </c:pt>
                </c:lvl>
              </c:multiLvlStrCache>
            </c:multiLvlStrRef>
          </c:cat>
          <c:val>
            <c:numRef>
              <c:f>'Monthly sales and profit analys'!$D$4:$D$14</c:f>
              <c:numCache>
                <c:formatCode>General</c:formatCode>
                <c:ptCount val="9"/>
                <c:pt idx="0">
                  <c:v>18</c:v>
                </c:pt>
                <c:pt idx="1">
                  <c:v>10</c:v>
                </c:pt>
                <c:pt idx="2">
                  <c:v>7</c:v>
                </c:pt>
                <c:pt idx="3">
                  <c:v>10</c:v>
                </c:pt>
                <c:pt idx="4">
                  <c:v>15</c:v>
                </c:pt>
                <c:pt idx="5">
                  <c:v>8</c:v>
                </c:pt>
                <c:pt idx="6">
                  <c:v>10</c:v>
                </c:pt>
                <c:pt idx="7">
                  <c:v>13</c:v>
                </c:pt>
                <c:pt idx="8">
                  <c:v>9</c:v>
                </c:pt>
              </c:numCache>
            </c:numRef>
          </c:val>
          <c:extLst>
            <c:ext xmlns:c16="http://schemas.microsoft.com/office/drawing/2014/chart" uri="{C3380CC4-5D6E-409C-BE32-E72D297353CC}">
              <c16:uniqueId val="{00000002-FF1C-4647-BD70-9D646A53C40B}"/>
            </c:ext>
          </c:extLst>
        </c:ser>
        <c:dLbls>
          <c:showLegendKey val="0"/>
          <c:showVal val="0"/>
          <c:showCatName val="0"/>
          <c:showSerName val="0"/>
          <c:showPercent val="0"/>
          <c:showBubbleSize val="0"/>
        </c:dLbls>
        <c:gapWidth val="315"/>
        <c:overlap val="-40"/>
        <c:axId val="1901191247"/>
        <c:axId val="1903710719"/>
      </c:barChart>
      <c:catAx>
        <c:axId val="19011912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3710719"/>
        <c:crosses val="autoZero"/>
        <c:auto val="1"/>
        <c:lblAlgn val="ctr"/>
        <c:lblOffset val="100"/>
        <c:noMultiLvlLbl val="0"/>
      </c:catAx>
      <c:valAx>
        <c:axId val="19037107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119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[Ecommerce_Sales_Analysis_Raw_Data.xlsx]Product Performance!PivotTable1</c:name>
    <c:fmtId val="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barChart>
        <c:barDir val="bar"/>
        <c:grouping val="clustered"/>
        <c:varyColors val="0"/>
        <c:ser>
          <c:idx val="0"/>
          <c:order val="0"/>
          <c:tx>
            <c:strRef>
              <c:f>'Product Performance'!$B$3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'Product Performance'!$A$4:$A$14</c:f>
              <c:strCache>
                <c:ptCount val="10"/>
                <c:pt idx="0">
                  <c:v>Backpack</c:v>
                </c:pt>
                <c:pt idx="1">
                  <c:v>Casual Shirt</c:v>
                </c:pt>
                <c:pt idx="2">
                  <c:v>Desk</c:v>
                </c:pt>
                <c:pt idx="3">
                  <c:v>Headphones</c:v>
                </c:pt>
                <c:pt idx="4">
                  <c:v>Jeans</c:v>
                </c:pt>
                <c:pt idx="5">
                  <c:v>Laptop</c:v>
                </c:pt>
                <c:pt idx="6">
                  <c:v>Office Chair</c:v>
                </c:pt>
                <c:pt idx="7">
                  <c:v>Running Shoes</c:v>
                </c:pt>
                <c:pt idx="8">
                  <c:v>Smartphone</c:v>
                </c:pt>
                <c:pt idx="9">
                  <c:v>Wireless Mouse</c:v>
                </c:pt>
              </c:strCache>
            </c:strRef>
          </c:cat>
          <c:val>
            <c:numRef>
              <c:f>'Product Performance'!$B$4:$B$14</c:f>
              <c:numCache>
                <c:formatCode>General</c:formatCode>
                <c:ptCount val="10"/>
                <c:pt idx="0">
                  <c:v>17661.139999999996</c:v>
                </c:pt>
                <c:pt idx="1">
                  <c:v>5445.1599999999989</c:v>
                </c:pt>
                <c:pt idx="2">
                  <c:v>21665.949999999997</c:v>
                </c:pt>
                <c:pt idx="3">
                  <c:v>17996.91</c:v>
                </c:pt>
                <c:pt idx="4">
                  <c:v>16175.83</c:v>
                </c:pt>
                <c:pt idx="5">
                  <c:v>402331.22</c:v>
                </c:pt>
                <c:pt idx="6">
                  <c:v>32872.100000000006</c:v>
                </c:pt>
                <c:pt idx="7">
                  <c:v>19370.400000000001</c:v>
                </c:pt>
                <c:pt idx="8">
                  <c:v>218462.91999999998</c:v>
                </c:pt>
                <c:pt idx="9">
                  <c:v>7635.6599999999989</c:v>
                </c:pt>
              </c:numCache>
            </c:numRef>
          </c:val>
          <c:extLst>
            <c:ext xmlns:c16="http://schemas.microsoft.com/office/drawing/2014/chart" uri="{C3380CC4-5D6E-409C-BE32-E72D297353CC}">
              <c16:uniqueId val="{00000000-68E1-42E3-8F30-9F86DD4DC2D4}"/>
            </c:ext>
          </c:extLst>
        </c:ser>
        <c:dLbls>
          <c:showLegendKey val="0"/>
          <c:showVal val="0"/>
          <c:showCatName val="0"/>
          <c:showSerName val="0"/>
          <c:showPercent val="0"/>
          <c:showBubbleSize val="0"/>
        </c:dLbls>
        <c:gapWidth val="182"/>
        <c:overlap val="-50"/>
        <c:axId val="1959152655"/>
        <c:axId val="1894352191"/>
      </c:barChart>
      <c:catAx>
        <c:axId val="195915265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4352191"/>
        <c:crosses val="autoZero"/>
        <c:auto val="1"/>
        <c:lblAlgn val="ctr"/>
        <c:lblOffset val="100"/>
        <c:noMultiLvlLbl val="0"/>
      </c:catAx>
      <c:valAx>
        <c:axId val="189435219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915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[Ecommerce_Sales_Analysis_Raw_Data.xlsx]Regional Performance!PivotTable7</c:name>
    <c:fmtId val="8"/>
  </c:pivotSource>
  <c:chart>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col"/>
        <c:grouping val="clustered"/>
        <c:varyColors val="0"/>
        <c:ser>
          <c:idx val="0"/>
          <c:order val="0"/>
          <c:tx>
            <c:strRef>
              <c:f>'Regional Performance'!$B$3</c:f>
              <c:strCache>
                <c:ptCount val="1"/>
                <c:pt idx="0">
                  <c:v>Sum of Sales_Amount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'Regional Performance'!$A$4:$A$8</c:f>
              <c:strCache>
                <c:ptCount val="4"/>
                <c:pt idx="0">
                  <c:v>East</c:v>
                </c:pt>
                <c:pt idx="1">
                  <c:v>North</c:v>
                </c:pt>
                <c:pt idx="2">
                  <c:v>South</c:v>
                </c:pt>
                <c:pt idx="3">
                  <c:v>West</c:v>
                </c:pt>
              </c:strCache>
            </c:strRef>
          </c:cat>
          <c:val>
            <c:numRef>
              <c:f>'Regional Performance'!$B$4:$B$8</c:f>
              <c:numCache>
                <c:formatCode>"₹"\ #,##0.00</c:formatCode>
                <c:ptCount val="4"/>
                <c:pt idx="0">
                  <c:v>984380</c:v>
                </c:pt>
                <c:pt idx="1">
                  <c:v>625470</c:v>
                </c:pt>
                <c:pt idx="2">
                  <c:v>669105</c:v>
                </c:pt>
                <c:pt idx="3">
                  <c:v>1117010</c:v>
                </c:pt>
              </c:numCache>
            </c:numRef>
          </c:val>
          <c:extLst>
            <c:ext xmlns:c16="http://schemas.microsoft.com/office/drawing/2014/chart" uri="{C3380CC4-5D6E-409C-BE32-E72D297353CC}">
              <c16:uniqueId val="{00000000-F1BA-4187-8020-99AEBB282247}"/>
            </c:ext>
          </c:extLst>
        </c:ser>
        <c:ser>
          <c:idx val="1"/>
          <c:order val="1"/>
          <c:tx>
            <c:strRef>
              <c:f>'Regional Performance'!$C$3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'Regional Performance'!$A$4:$A$8</c:f>
              <c:strCache>
                <c:ptCount val="4"/>
                <c:pt idx="0">
                  <c:v>East</c:v>
                </c:pt>
                <c:pt idx="1">
                  <c:v>North</c:v>
                </c:pt>
                <c:pt idx="2">
                  <c:v>South</c:v>
                </c:pt>
                <c:pt idx="3">
                  <c:v>West</c:v>
                </c:pt>
              </c:strCache>
            </c:strRef>
          </c:cat>
          <c:val>
            <c:numRef>
              <c:f>'Regional Performance'!$C$4:$C$8</c:f>
              <c:numCache>
                <c:formatCode>"₹"\ #,##0.00</c:formatCode>
                <c:ptCount val="4"/>
                <c:pt idx="0">
                  <c:v>197583.28999999995</c:v>
                </c:pt>
                <c:pt idx="1">
                  <c:v>149546.96000000002</c:v>
                </c:pt>
                <c:pt idx="2">
                  <c:v>165064.54999999999</c:v>
                </c:pt>
                <c:pt idx="3">
                  <c:v>247422.49</c:v>
                </c:pt>
              </c:numCache>
            </c:numRef>
          </c:val>
          <c:extLst>
            <c:ext xmlns:c16="http://schemas.microsoft.com/office/drawing/2014/chart" uri="{C3380CC4-5D6E-409C-BE32-E72D297353CC}">
              <c16:uniqueId val="{00000001-F1BA-4187-8020-99AEBB282247}"/>
            </c:ext>
          </c:extLst>
        </c:ser>
        <c:ser>
          <c:idx val="2"/>
          <c:order val="2"/>
          <c:tx>
            <c:strRef>
              <c:f>'Regional Performance'!$D$3</c:f>
              <c:strCache>
                <c:ptCount val="1"/>
                <c:pt idx="0">
                  <c:v>Count of Order_ID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'Regional Performance'!$A$4:$A$8</c:f>
              <c:strCache>
                <c:ptCount val="4"/>
                <c:pt idx="0">
                  <c:v>East</c:v>
                </c:pt>
                <c:pt idx="1">
                  <c:v>North</c:v>
                </c:pt>
                <c:pt idx="2">
                  <c:v>South</c:v>
                </c:pt>
                <c:pt idx="3">
                  <c:v>West</c:v>
                </c:pt>
              </c:strCache>
            </c:strRef>
          </c:cat>
          <c:val>
            <c:numRef>
              <c:f>'Regional Performance'!$D$4:$D$8</c:f>
              <c:numCache>
                <c:formatCode>General</c:formatCode>
                <c:ptCount val="4"/>
                <c:pt idx="0">
                  <c:v>28</c:v>
                </c:pt>
                <c:pt idx="1">
                  <c:v>19</c:v>
                </c:pt>
                <c:pt idx="2">
                  <c:v>20</c:v>
                </c:pt>
                <c:pt idx="3">
                  <c:v>33</c:v>
                </c:pt>
              </c:numCache>
            </c:numRef>
          </c:val>
          <c:extLst>
            <c:ext xmlns:c16="http://schemas.microsoft.com/office/drawing/2014/chart" uri="{C3380CC4-5D6E-409C-BE32-E72D297353CC}">
              <c16:uniqueId val="{00000002-F1BA-4187-8020-99AEBB282247}"/>
            </c:ext>
          </c:extLst>
        </c:ser>
        <c:dLbls>
          <c:showLegendKey val="0"/>
          <c:showVal val="0"/>
          <c:showCatName val="0"/>
          <c:showSerName val="0"/>
          <c:showPercent val="0"/>
          <c:showBubbleSize val="0"/>
        </c:dLbls>
        <c:gapWidth val="100"/>
        <c:overlap val="-24"/>
        <c:axId val="1960761903"/>
        <c:axId val="2033035887"/>
      </c:barChart>
      <c:catAx>
        <c:axId val="19607619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035887"/>
        <c:crosses val="autoZero"/>
        <c:auto val="1"/>
        <c:lblAlgn val="ctr"/>
        <c:lblOffset val="100"/>
        <c:noMultiLvlLbl val="0"/>
      </c:catAx>
      <c:valAx>
        <c:axId val="20330358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6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[Ecommerce_Sales_Analysis_Raw_Data.xlsx]Discount impact analysis!PivotTable6</c:name>
    <c:fmtId val="5"/>
  </c:pivotSource>
  <c:chart>
    <c:autoTitleDeleted val="0"/>
    <c:pivotFmts>
      <c:pivotFmt>
        <c:idx val="0"/>
      </c:pivotFmt>
      <c:pivotFmt>
        <c:idx val="1"/>
      </c:pivotFmt>
      <c:pivotFmt>
        <c:idx val="2"/>
      </c:pivotFmt>
      <c:pivotFmt>
        <c:idx val="3"/>
      </c:pivotFmt>
      <c:pivotFmt>
        <c:idx val="4"/>
      </c:pivotFmt>
      <c:pivotFmt>
        <c:idx val="5"/>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'Discount impact analysis'!$B$3</c:f>
              <c:strCache>
                <c:ptCount val="1"/>
                <c:pt idx="0">
                  <c:v>Sum of Sales_Amount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'Discount impact analysis'!$A$4:$A$11</c:f>
              <c:strCache>
                <c:ptCount val="7"/>
                <c:pt idx="0">
                  <c:v>0.00%</c:v>
                </c:pt>
                <c:pt idx="1">
                  <c:v>5.00%</c:v>
                </c:pt>
                <c:pt idx="2">
                  <c:v>10.00%</c:v>
                </c:pt>
                <c:pt idx="3">
                  <c:v>15.00%</c:v>
                </c:pt>
                <c:pt idx="4">
                  <c:v>20.00%</c:v>
                </c:pt>
                <c:pt idx="5">
                  <c:v>25.00%</c:v>
                </c:pt>
                <c:pt idx="6">
                  <c:v>60.00%</c:v>
                </c:pt>
              </c:strCache>
            </c:strRef>
          </c:cat>
          <c:val>
            <c:numRef>
              <c:f>'Discount impact analysis'!$B$4:$B$11</c:f>
              <c:numCache>
                <c:formatCode>General</c:formatCode>
                <c:ptCount val="7"/>
                <c:pt idx="0">
                  <c:v>590300</c:v>
                </c:pt>
                <c:pt idx="1">
                  <c:v>965010</c:v>
                </c:pt>
                <c:pt idx="2">
                  <c:v>493020</c:v>
                </c:pt>
                <c:pt idx="3">
                  <c:v>518585</c:v>
                </c:pt>
                <c:pt idx="4">
                  <c:v>318000</c:v>
                </c:pt>
                <c:pt idx="5">
                  <c:v>507900</c:v>
                </c:pt>
                <c:pt idx="6">
                  <c:v>3150</c:v>
                </c:pt>
              </c:numCache>
            </c:numRef>
          </c:val>
          <c:smooth val="0"/>
          <c:extLst>
            <c:ext xmlns:c16="http://schemas.microsoft.com/office/drawing/2014/chart" uri="{C3380CC4-5D6E-409C-BE32-E72D297353CC}">
              <c16:uniqueId val="{00000000-4BC7-410D-9F25-0252E38122D8}"/>
            </c:ext>
          </c:extLst>
        </c:ser>
        <c:ser>
          <c:idx val="1"/>
          <c:order val="1"/>
          <c:tx>
            <c:strRef>
              <c:f>'Discount impact analysis'!$C$3</c:f>
              <c:strCache>
                <c:ptCount val="1"/>
                <c:pt idx="0">
                  <c:v>Sum of 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'Discount impact analysis'!$A$4:$A$11</c:f>
              <c:strCache>
                <c:ptCount val="7"/>
                <c:pt idx="0">
                  <c:v>0.00%</c:v>
                </c:pt>
                <c:pt idx="1">
                  <c:v>5.00%</c:v>
                </c:pt>
                <c:pt idx="2">
                  <c:v>10.00%</c:v>
                </c:pt>
                <c:pt idx="3">
                  <c:v>15.00%</c:v>
                </c:pt>
                <c:pt idx="4">
                  <c:v>20.00%</c:v>
                </c:pt>
                <c:pt idx="5">
                  <c:v>25.00%</c:v>
                </c:pt>
                <c:pt idx="6">
                  <c:v>60.00%</c:v>
                </c:pt>
              </c:strCache>
            </c:strRef>
          </c:cat>
          <c:val>
            <c:numRef>
              <c:f>'Discount impact analysis'!$C$4:$C$11</c:f>
              <c:numCache>
                <c:formatCode>General</c:formatCode>
                <c:ptCount val="7"/>
                <c:pt idx="0">
                  <c:v>196846.95</c:v>
                </c:pt>
                <c:pt idx="1">
                  <c:v>281273.05000000005</c:v>
                </c:pt>
                <c:pt idx="2">
                  <c:v>119470.68000000001</c:v>
                </c:pt>
                <c:pt idx="3">
                  <c:v>111249.38</c:v>
                </c:pt>
                <c:pt idx="4">
                  <c:v>27608.42</c:v>
                </c:pt>
                <c:pt idx="5">
                  <c:v>22302.059999999998</c:v>
                </c:pt>
                <c:pt idx="6">
                  <c:v>866.75</c:v>
                </c:pt>
              </c:numCache>
            </c:numRef>
          </c:val>
          <c:smooth val="0"/>
          <c:extLst>
            <c:ext xmlns:c16="http://schemas.microsoft.com/office/drawing/2014/chart" uri="{C3380CC4-5D6E-409C-BE32-E72D297353CC}">
              <c16:uniqueId val="{00000001-4BC7-410D-9F25-0252E38122D8}"/>
            </c:ext>
          </c:extLst>
        </c:ser>
        <c:ser>
          <c:idx val="2"/>
          <c:order val="2"/>
          <c:tx>
            <c:strRef>
              <c:f>'Discount impact analysis'!$D$3</c:f>
              <c:strCache>
                <c:ptCount val="1"/>
                <c:pt idx="0">
                  <c:v>Count of Order_ID</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'Discount impact analysis'!$A$4:$A$11</c:f>
              <c:strCache>
                <c:ptCount val="7"/>
                <c:pt idx="0">
                  <c:v>0.00%</c:v>
                </c:pt>
                <c:pt idx="1">
                  <c:v>5.00%</c:v>
                </c:pt>
                <c:pt idx="2">
                  <c:v>10.00%</c:v>
                </c:pt>
                <c:pt idx="3">
                  <c:v>15.00%</c:v>
                </c:pt>
                <c:pt idx="4">
                  <c:v>20.00%</c:v>
                </c:pt>
                <c:pt idx="5">
                  <c:v>25.00%</c:v>
                </c:pt>
                <c:pt idx="6">
                  <c:v>60.00%</c:v>
                </c:pt>
              </c:strCache>
            </c:strRef>
          </c:cat>
          <c:val>
            <c:numRef>
              <c:f>'Discount impact analysis'!$D$4:$D$11</c:f>
              <c:numCache>
                <c:formatCode>General</c:formatCode>
                <c:ptCount val="7"/>
                <c:pt idx="0">
                  <c:v>14</c:v>
                </c:pt>
                <c:pt idx="1">
                  <c:v>14</c:v>
                </c:pt>
                <c:pt idx="2">
                  <c:v>22</c:v>
                </c:pt>
                <c:pt idx="3">
                  <c:v>17</c:v>
                </c:pt>
                <c:pt idx="4">
                  <c:v>12</c:v>
                </c:pt>
                <c:pt idx="5">
                  <c:v>20</c:v>
                </c:pt>
                <c:pt idx="6">
                  <c:v>1</c:v>
                </c:pt>
              </c:numCache>
            </c:numRef>
          </c:val>
          <c:smooth val="0"/>
          <c:extLst>
            <c:ext xmlns:c16="http://schemas.microsoft.com/office/drawing/2014/chart" uri="{C3380CC4-5D6E-409C-BE32-E72D297353CC}">
              <c16:uniqueId val="{00000002-4BC7-410D-9F25-0252E38122D8}"/>
            </c:ext>
          </c:extLst>
        </c:ser>
        <c:dLbls>
          <c:showLegendKey val="0"/>
          <c:showVal val="0"/>
          <c:showCatName val="0"/>
          <c:showSerName val="0"/>
          <c:showPercent val="0"/>
          <c:showBubbleSize val="0"/>
        </c:dLbls>
        <c:marker val="1"/>
        <c:smooth val="0"/>
        <c:axId val="1960757503"/>
        <c:axId val="2033044207"/>
      </c:lineChart>
      <c:catAx>
        <c:axId val="19607575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3044207"/>
        <c:crosses val="autoZero"/>
        <c:auto val="1"/>
        <c:lblAlgn val="ctr"/>
        <c:lblOffset val="100"/>
        <c:noMultiLvlLbl val="0"/>
      </c:catAx>
      <c:valAx>
        <c:axId val="20330442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075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12</xdr:row>
      <xdr:rowOff>0</xdr:rowOff>
    </xdr:from>
    <xdr:to>
      <xdr:col>4</xdr:col>
      <xdr:colOff>868680</xdr:colOff>
      <xdr:row>27</xdr:row>
      <xdr:rowOff>0</xdr:rowOff>
    </xdr:to>
    <xdr:graphicFrame macro="">
      <xdr:nvGraphicFramePr>
        <xdr:cNvPr id="2" name="Monthly Revenue vs. Profit">
          <a:extLst>
            <a:ext uri="{FF2B5EF4-FFF2-40B4-BE49-F238E27FC236}">
              <a16:creationId xmlns:a16="http://schemas.microsoft.com/office/drawing/2014/main" id="{1F9F0A4A-6FA1-4643-908C-2D600BF32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960120</xdr:colOff>
      <xdr:row>12</xdr:row>
      <xdr:rowOff>38100</xdr:rowOff>
    </xdr:from>
    <xdr:to>
      <xdr:col>17</xdr:col>
      <xdr:colOff>53340</xdr:colOff>
      <xdr:row>27</xdr:row>
      <xdr:rowOff>0</xdr:rowOff>
    </xdr:to>
    <xdr:graphicFrame macro="">
      <xdr:nvGraphicFramePr>
        <xdr:cNvPr id="3" name="Chart 2">
          <a:extLst>
            <a:ext uri="{FF2B5EF4-FFF2-40B4-BE49-F238E27FC236}">
              <a16:creationId xmlns:a16="http://schemas.microsoft.com/office/drawing/2014/main" id="{4BAE6B5B-2B0B-4C4C-8F5F-BCC1F91C9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579120</xdr:colOff>
      <xdr:row>29</xdr:row>
      <xdr:rowOff>167640</xdr:rowOff>
    </xdr:from>
    <xdr:to>
      <xdr:col>4</xdr:col>
      <xdr:colOff>937260</xdr:colOff>
      <xdr:row>44</xdr:row>
      <xdr:rowOff>175260</xdr:rowOff>
    </xdr:to>
    <xdr:graphicFrame macro="">
      <xdr:nvGraphicFramePr>
        <xdr:cNvPr id="4" name="Chart 3">
          <a:extLst>
            <a:ext uri="{FF2B5EF4-FFF2-40B4-BE49-F238E27FC236}">
              <a16:creationId xmlns:a16="http://schemas.microsoft.com/office/drawing/2014/main" id="{51D63BEA-BE06-44B0-B634-B713F4FC1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1051560</xdr:colOff>
      <xdr:row>29</xdr:row>
      <xdr:rowOff>167640</xdr:rowOff>
    </xdr:from>
    <xdr:to>
      <xdr:col>11</xdr:col>
      <xdr:colOff>114300</xdr:colOff>
      <xdr:row>44</xdr:row>
      <xdr:rowOff>167640</xdr:rowOff>
    </xdr:to>
    <xdr:graphicFrame macro="">
      <xdr:nvGraphicFramePr>
        <xdr:cNvPr id="5" name="Chart 4">
          <a:extLst>
            <a:ext uri="{FF2B5EF4-FFF2-40B4-BE49-F238E27FC236}">
              <a16:creationId xmlns:a16="http://schemas.microsoft.com/office/drawing/2014/main" id="{AE5FBCF9-76DC-465B-991C-17D264F99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99060</xdr:colOff>
      <xdr:row>47</xdr:row>
      <xdr:rowOff>53340</xdr:rowOff>
    </xdr:from>
    <xdr:to>
      <xdr:col>1</xdr:col>
      <xdr:colOff>1927860</xdr:colOff>
      <xdr:row>60</xdr:row>
      <xdr:rowOff>142875</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7DE0A1CF-1EE8-4CB2-A7D9-36CCFE67FB0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08660" y="8694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2240280</xdr:colOff>
      <xdr:row>47</xdr:row>
      <xdr:rowOff>38100</xdr:rowOff>
    </xdr:from>
    <xdr:to>
      <xdr:col>4</xdr:col>
      <xdr:colOff>243840</xdr:colOff>
      <xdr:row>60</xdr:row>
      <xdr:rowOff>127635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E08CCCB-2E7C-446D-95B7-5A5B08F7FC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49880" y="8679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655320</xdr:colOff>
      <xdr:row>47</xdr:row>
      <xdr:rowOff>30480</xdr:rowOff>
    </xdr:from>
    <xdr:to>
      <xdr:col>7</xdr:col>
      <xdr:colOff>121920</xdr:colOff>
      <xdr:row>60</xdr:row>
      <xdr:rowOff>120015</xdr:rowOff>
    </xdr:to>
    <mc:AlternateContent xmlns:mc="http://schemas.openxmlformats.org/markup-compatibility/2006">
      <mc:Choice xmlns:a14="http://schemas.microsoft.com/office/drawing/2010/main" Requires="a14">
        <xdr:graphicFrame macro="">
          <xdr:nvGraphicFramePr>
            <xdr:cNvPr id="8" name="Order_Status">
              <a:extLst>
                <a:ext uri="{FF2B5EF4-FFF2-40B4-BE49-F238E27FC236}">
                  <a16:creationId xmlns:a16="http://schemas.microsoft.com/office/drawing/2014/main" id="{989A54E3-7932-41D1-88BF-EC86A8A23EAB}"/>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5090160" y="8671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167640</xdr:colOff>
      <xdr:row>4</xdr:row>
      <xdr:rowOff>38100</xdr:rowOff>
    </xdr:from>
    <xdr:to>
      <xdr:col>1</xdr:col>
      <xdr:colOff>2430780</xdr:colOff>
      <xdr:row>9</xdr:row>
      <xdr:rowOff>114300</xdr:rowOff>
    </xdr:to>
    <xdr:sp macro="" textlink="">
      <xdr:nvSpPr>
        <xdr:cNvPr id="12" name="Rectangle: Rounded Corners 11">
          <a:extLst>
            <a:ext uri="{FF2B5EF4-FFF2-40B4-BE49-F238E27FC236}">
              <a16:creationId xmlns:a16="http://schemas.microsoft.com/office/drawing/2014/main" id="{EACDB275-56AA-477F-AE81-2757B2DC986C}"/>
            </a:ext>
          </a:extLst>
        </xdr:cNvPr>
        <xdr:cNvSpPr/>
      </xdr:nvSpPr>
      <xdr:spPr>
        <a:xfrm>
          <a:off x="777240" y="769620"/>
          <a:ext cx="2263140" cy="99060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83820</xdr:colOff>
      <xdr:row>4</xdr:row>
      <xdr:rowOff>45720</xdr:rowOff>
    </xdr:from>
    <xdr:to>
      <xdr:col>5</xdr:col>
      <xdr:colOff>594360</xdr:colOff>
      <xdr:row>9</xdr:row>
      <xdr:rowOff>121920</xdr:rowOff>
    </xdr:to>
    <xdr:sp macro="" textlink="">
      <xdr:nvSpPr>
        <xdr:cNvPr id="13" name="Rectangle: Rounded Corners 12">
          <a:extLst>
            <a:ext uri="{FF2B5EF4-FFF2-40B4-BE49-F238E27FC236}">
              <a16:creationId xmlns:a16="http://schemas.microsoft.com/office/drawing/2014/main" id="{C71C034D-86A0-4680-A3FB-CD47CC1C7691}"/>
            </a:ext>
          </a:extLst>
        </xdr:cNvPr>
        <xdr:cNvSpPr/>
      </xdr:nvSpPr>
      <xdr:spPr>
        <a:xfrm>
          <a:off x="3787140" y="777240"/>
          <a:ext cx="2263140" cy="120396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365760</xdr:colOff>
      <xdr:row>4</xdr:row>
      <xdr:rowOff>45720</xdr:rowOff>
    </xdr:from>
    <xdr:to>
      <xdr:col>9</xdr:col>
      <xdr:colOff>175260</xdr:colOff>
      <xdr:row>9</xdr:row>
      <xdr:rowOff>99060</xdr:rowOff>
    </xdr:to>
    <xdr:sp macro="" textlink="">
      <xdr:nvSpPr>
        <xdr:cNvPr id="14" name="Rectangle: Rounded Corners 13">
          <a:extLst>
            <a:ext uri="{FF2B5EF4-FFF2-40B4-BE49-F238E27FC236}">
              <a16:creationId xmlns:a16="http://schemas.microsoft.com/office/drawing/2014/main" id="{1D9A4028-9CAA-456A-BD2E-8362B2561A64}"/>
            </a:ext>
          </a:extLst>
        </xdr:cNvPr>
        <xdr:cNvSpPr/>
      </xdr:nvSpPr>
      <xdr:spPr>
        <a:xfrm>
          <a:off x="6431280" y="777240"/>
          <a:ext cx="1866900" cy="96774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83820</xdr:colOff>
      <xdr:row>4</xdr:row>
      <xdr:rowOff>60960</xdr:rowOff>
    </xdr:from>
    <xdr:to>
      <xdr:col>12</xdr:col>
      <xdr:colOff>53340</xdr:colOff>
      <xdr:row>9</xdr:row>
      <xdr:rowOff>68580</xdr:rowOff>
    </xdr:to>
    <xdr:sp macro="" textlink="">
      <xdr:nvSpPr>
        <xdr:cNvPr id="15" name="Rectangle: Rounded Corners 14">
          <a:extLst>
            <a:ext uri="{FF2B5EF4-FFF2-40B4-BE49-F238E27FC236}">
              <a16:creationId xmlns:a16="http://schemas.microsoft.com/office/drawing/2014/main" id="{151097F9-5B40-408D-9E5B-449CDC34B219}"/>
            </a:ext>
          </a:extLst>
        </xdr:cNvPr>
        <xdr:cNvSpPr/>
      </xdr:nvSpPr>
      <xdr:spPr>
        <a:xfrm>
          <a:off x="8816340" y="792480"/>
          <a:ext cx="1668780" cy="92202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960120</xdr:colOff>
      <xdr:row>9</xdr:row>
      <xdr:rowOff>167640</xdr:rowOff>
    </xdr:from>
    <xdr:to>
      <xdr:col>4</xdr:col>
      <xdr:colOff>891540</xdr:colOff>
      <xdr:row>11</xdr:row>
      <xdr:rowOff>99060</xdr:rowOff>
    </xdr:to>
    <xdr:sp macro="" textlink="">
      <xdr:nvSpPr>
        <xdr:cNvPr id="16" name="Rectangle: Rounded Corners 15">
          <a:extLst>
            <a:ext uri="{FF2B5EF4-FFF2-40B4-BE49-F238E27FC236}">
              <a16:creationId xmlns:a16="http://schemas.microsoft.com/office/drawing/2014/main" id="{65DB3E21-D22E-4AEB-A5B8-6EBEE68CA2DD}"/>
            </a:ext>
          </a:extLst>
        </xdr:cNvPr>
        <xdr:cNvSpPr/>
      </xdr:nvSpPr>
      <xdr:spPr>
        <a:xfrm>
          <a:off x="1569720" y="1859280"/>
          <a:ext cx="3756660" cy="297180"/>
        </a:xfrm>
        <a:prstGeom prst="roundRect">
          <a:avLst/>
        </a:prstGeom>
        <a:no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2">
                  <a:lumMod val="75000"/>
                </a:schemeClr>
              </a:solidFill>
            </a:rPr>
            <a:t>Monthly Revenue vs. Profit chart</a:t>
          </a:r>
        </a:p>
      </xdr:txBody>
    </xdr:sp>
    <xdr:clientData/>
  </xdr:twoCellAnchor>
  <xdr:twoCellAnchor>
    <xdr:from>
      <xdr:col>8</xdr:col>
      <xdr:colOff>114300</xdr:colOff>
      <xdr:row>10</xdr:row>
      <xdr:rowOff>15240</xdr:rowOff>
    </xdr:from>
    <xdr:to>
      <xdr:col>10</xdr:col>
      <xdr:colOff>1036320</xdr:colOff>
      <xdr:row>11</xdr:row>
      <xdr:rowOff>121920</xdr:rowOff>
    </xdr:to>
    <xdr:sp macro="" textlink="">
      <xdr:nvSpPr>
        <xdr:cNvPr id="17" name="Rectangle: Rounded Corners 16">
          <a:extLst>
            <a:ext uri="{FF2B5EF4-FFF2-40B4-BE49-F238E27FC236}">
              <a16:creationId xmlns:a16="http://schemas.microsoft.com/office/drawing/2014/main" id="{A768E61F-8947-4786-B31E-2102C3711D59}"/>
            </a:ext>
          </a:extLst>
        </xdr:cNvPr>
        <xdr:cNvSpPr/>
      </xdr:nvSpPr>
      <xdr:spPr>
        <a:xfrm>
          <a:off x="7627620" y="1844040"/>
          <a:ext cx="2141220" cy="28956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2">
                  <a:lumMod val="75000"/>
                </a:schemeClr>
              </a:solidFill>
            </a:rPr>
            <a:t>Product Performance</a:t>
          </a:r>
        </a:p>
      </xdr:txBody>
    </xdr:sp>
    <xdr:clientData/>
  </xdr:twoCellAnchor>
  <xdr:twoCellAnchor>
    <xdr:from>
      <xdr:col>1</xdr:col>
      <xdr:colOff>1447800</xdr:colOff>
      <xdr:row>27</xdr:row>
      <xdr:rowOff>137160</xdr:rowOff>
    </xdr:from>
    <xdr:to>
      <xdr:col>4</xdr:col>
      <xdr:colOff>579120</xdr:colOff>
      <xdr:row>29</xdr:row>
      <xdr:rowOff>106680</xdr:rowOff>
    </xdr:to>
    <xdr:sp macro="" textlink="">
      <xdr:nvSpPr>
        <xdr:cNvPr id="18" name="Rectangle: Rounded Corners 17">
          <a:extLst>
            <a:ext uri="{FF2B5EF4-FFF2-40B4-BE49-F238E27FC236}">
              <a16:creationId xmlns:a16="http://schemas.microsoft.com/office/drawing/2014/main" id="{A31018F9-7A3B-416C-B6F1-A65625100C48}"/>
            </a:ext>
          </a:extLst>
        </xdr:cNvPr>
        <xdr:cNvSpPr/>
      </xdr:nvSpPr>
      <xdr:spPr>
        <a:xfrm>
          <a:off x="2057400" y="5074920"/>
          <a:ext cx="2834640" cy="33528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2">
                  <a:lumMod val="75000"/>
                </a:schemeClr>
              </a:solidFill>
            </a:rPr>
            <a:t>Regional Revenue</a:t>
          </a:r>
        </a:p>
      </xdr:txBody>
    </xdr:sp>
    <xdr:clientData/>
  </xdr:twoCellAnchor>
  <xdr:twoCellAnchor>
    <xdr:from>
      <xdr:col>7</xdr:col>
      <xdr:colOff>594360</xdr:colOff>
      <xdr:row>27</xdr:row>
      <xdr:rowOff>7620</xdr:rowOff>
    </xdr:from>
    <xdr:to>
      <xdr:col>10</xdr:col>
      <xdr:colOff>220980</xdr:colOff>
      <xdr:row>28</xdr:row>
      <xdr:rowOff>152400</xdr:rowOff>
    </xdr:to>
    <xdr:sp macro="" textlink="">
      <xdr:nvSpPr>
        <xdr:cNvPr id="19" name="Rectangle: Rounded Corners 18">
          <a:extLst>
            <a:ext uri="{FF2B5EF4-FFF2-40B4-BE49-F238E27FC236}">
              <a16:creationId xmlns:a16="http://schemas.microsoft.com/office/drawing/2014/main" id="{23799264-A8AD-4EAD-B8A5-FD7303D15F38}"/>
            </a:ext>
          </a:extLst>
        </xdr:cNvPr>
        <xdr:cNvSpPr/>
      </xdr:nvSpPr>
      <xdr:spPr>
        <a:xfrm>
          <a:off x="7391400" y="4991100"/>
          <a:ext cx="1684020" cy="32766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2">
                  <a:lumMod val="75000"/>
                </a:schemeClr>
              </a:solidFill>
            </a:rPr>
            <a:t>Discount 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12.620391435186" createdVersion="6" refreshedVersion="6" minRefreshableVersion="3" recordCount="100" xr:uid="{86FCD9BD-8682-4036-9177-96754D11FDAC}">
  <cacheSource type="worksheet">
    <worksheetSource ref="A1:P89" sheet="cleaned_data"/>
  </cacheSource>
  <cacheFields count="17">
    <cacheField name="Order_ID" numFmtId="0">
      <sharedItems/>
    </cacheField>
    <cacheField name="Order_Date" numFmtId="14">
      <sharedItems containsSemiMixedTypes="0" containsNonDate="0" containsDate="1" containsString="0" minDate="2026-01-01T00:00:00" maxDate="2026-09-26T00:00:00" count="88">
        <d v="2026-02-27T00:00:00"/>
        <d v="2026-01-16T00:00:00"/>
        <d v="2026-01-04T00:00:00"/>
        <d v="2026-07-03T00:00:00"/>
        <d v="2026-07-05T00:00:00"/>
        <d v="2026-07-14T00:00:00"/>
        <d v="2026-02-06T00:00:00"/>
        <d v="2026-06-16T00:00:00"/>
        <d v="2026-04-19T00:00:00"/>
        <d v="2026-08-08T00:00:00"/>
        <d v="2026-03-23T00:00:00"/>
        <d v="2026-05-17T00:00:00"/>
        <d v="2026-09-17T00:00:00"/>
        <d v="2026-06-15T00:00:00"/>
        <d v="2026-02-13T00:00:00"/>
        <d v="2026-05-07T00:00:00"/>
        <d v="2026-04-28T00:00:00"/>
        <d v="2026-08-31T00:00:00"/>
        <d v="2026-01-28T00:00:00"/>
        <d v="2026-03-13T00:00:00"/>
        <d v="2026-01-08T00:00:00"/>
        <d v="2026-01-02T00:00:00"/>
        <d v="2026-01-30T00:00:00"/>
        <d v="2026-01-21T00:00:00"/>
        <d v="2026-05-03T00:00:00"/>
        <d v="2026-02-21T00:00:00"/>
        <d v="2026-04-15T00:00:00"/>
        <d v="2026-05-16T00:00:00"/>
        <d v="2026-01-23T00:00:00"/>
        <d v="2026-01-05T00:00:00"/>
        <d v="2026-08-09T00:00:00"/>
        <d v="2026-02-22T00:00:00"/>
        <d v="2026-01-13T00:00:00"/>
        <d v="2026-07-15T00:00:00"/>
        <d v="2026-06-19T00:00:00"/>
        <d v="2026-06-10T00:00:00"/>
        <d v="2026-01-01T00:00:00"/>
        <d v="2026-04-09T00:00:00"/>
        <d v="2026-05-27T00:00:00"/>
        <d v="2026-09-19T00:00:00"/>
        <d v="2026-04-26T00:00:00"/>
        <d v="2026-07-16T00:00:00"/>
        <d v="2026-09-23T00:00:00"/>
        <d v="2026-08-15T00:00:00"/>
        <d v="2026-05-13T00:00:00"/>
        <d v="2026-05-01T00:00:00"/>
        <d v="2026-04-20T00:00:00"/>
        <d v="2026-01-11T00:00:00"/>
        <d v="2026-09-07T00:00:00"/>
        <d v="2026-03-07T00:00:00"/>
        <d v="2026-08-25T00:00:00"/>
        <d v="2026-05-23T00:00:00"/>
        <d v="2026-04-22T00:00:00"/>
        <d v="2026-06-09T00:00:00"/>
        <d v="2026-03-03T00:00:00"/>
        <d v="2026-01-07T00:00:00"/>
        <d v="2026-09-05T00:00:00"/>
        <d v="2026-08-26T00:00:00"/>
        <d v="2026-07-01T00:00:00"/>
        <d v="2026-05-04T00:00:00"/>
        <d v="2026-05-31T00:00:00"/>
        <d v="2026-08-06T00:00:00"/>
        <d v="2026-06-11T00:00:00"/>
        <d v="2026-05-30T00:00:00"/>
        <d v="2026-04-05T00:00:00"/>
        <d v="2026-03-19T00:00:00"/>
        <d v="2026-09-25T00:00:00"/>
        <d v="2026-02-20T00:00:00"/>
        <d v="2026-08-17T00:00:00"/>
        <d v="2026-08-21T00:00:00"/>
        <d v="2026-03-18T00:00:00"/>
        <d v="2026-06-05T00:00:00"/>
        <d v="2026-05-09T00:00:00"/>
        <d v="2026-08-29T00:00:00"/>
        <d v="2026-07-29T00:00:00"/>
        <d v="2026-07-25T00:00:00"/>
        <d v="2026-03-09T00:00:00"/>
        <d v="2026-07-28T00:00:00"/>
        <d v="2026-08-01T00:00:00"/>
        <d v="2026-02-05T00:00:00"/>
        <d v="2026-09-08T00:00:00"/>
        <d v="2026-09-11T00:00:00"/>
        <d v="2026-02-11T00:00:00"/>
        <d v="2026-05-28T00:00:00"/>
        <d v="2026-01-15T00:00:00"/>
        <d v="2026-04-03T00:00:00"/>
        <d v="2026-02-07T00:00:00"/>
        <d v="2026-05-21T00:00:00"/>
      </sharedItems>
      <fieldGroup par="16" base="1">
        <rangePr groupBy="months" startDate="2026-01-01T00:00:00" endDate="2026-09-26T00:00:00"/>
        <groupItems count="14">
          <s v="&lt;01-01-2026"/>
          <s v="Jan"/>
          <s v="Feb"/>
          <s v="Mar"/>
          <s v="Apr"/>
          <s v="May"/>
          <s v="Jun"/>
          <s v="Jul"/>
          <s v="Aug"/>
          <s v="Sep"/>
          <s v="Oct"/>
          <s v="Nov"/>
          <s v="Dec"/>
          <s v="&gt;26-09-2026"/>
        </groupItems>
      </fieldGroup>
    </cacheField>
    <cacheField name="Customer_ID" numFmtId="0">
      <sharedItems/>
    </cacheField>
    <cacheField name="OK" numFmtId="0">
      <sharedItems/>
    </cacheField>
    <cacheField name="Product" numFmtId="0">
      <sharedItems count="10">
        <s v="Laptop"/>
        <s v="Wireless Mouse"/>
        <s v="Headphones"/>
        <s v="Desk"/>
        <s v="Jeans"/>
        <s v="Office Chair"/>
        <s v="Running Shoes"/>
        <s v="Backpack"/>
        <s v="Casual Shirt"/>
        <s v="Smartphone"/>
      </sharedItems>
    </cacheField>
    <cacheField name="Category" numFmtId="0">
      <sharedItems/>
    </cacheField>
    <cacheField name="Region" numFmtId="0">
      <sharedItems count="4">
        <s v="North"/>
        <s v="West"/>
        <s v="East"/>
        <s v="South"/>
      </sharedItems>
    </cacheField>
    <cacheField name="Customer_Segment" numFmtId="0">
      <sharedItems/>
    </cacheField>
    <cacheField name="Quantity" numFmtId="0">
      <sharedItems containsString="0" containsBlank="1" containsNumber="1" containsInteger="1" minValue="1" maxValue="5"/>
    </cacheField>
    <cacheField name="Sales_Amount" numFmtId="0">
      <sharedItems containsString="0" containsBlank="1" containsNumber="1" containsInteger="1" minValue="900" maxValue="247000"/>
    </cacheField>
    <cacheField name="Cost" numFmtId="0">
      <sharedItems containsSemiMixedTypes="0" containsString="0" containsNumber="1" minValue="682.96" maxValue="247046.84"/>
    </cacheField>
    <cacheField name="profit" numFmtId="0">
      <sharedItems containsSemiMixedTypes="0" containsString="0" containsNumber="1" minValue="-5156.05" maxValue="89989.989999999991"/>
    </cacheField>
    <cacheField name="profit margin" numFmtId="9">
      <sharedItems containsSemiMixedTypes="0" containsString="0" containsNumber="1" minValue="-8.2518095238095293E-2" maxValue="0.43752232142857145" count="100">
        <n v="0.35761376518218624"/>
        <n v="0.27742543859649121"/>
        <n v="0.30552777777777773"/>
        <n v="0.14675037037037031"/>
        <n v="0.24162666666666666"/>
        <n v="-3.3612962962962935E-2"/>
        <n v="6.6419999999999965E-2"/>
        <n v="0.23263761538461539"/>
        <n v="0.10147999999999997"/>
        <n v="0.32309222222222223"/>
        <n v="0.34611272727272724"/>
        <n v="0.25845925925925922"/>
        <n v="8.3907407407407472E-2"/>
        <n v="0.19914444444444446"/>
        <n v="5.4030555555555616E-2"/>
        <n v="0.15444814814814822"/>
        <n v="0.38257857142857143"/>
        <n v="0.36762962962962958"/>
        <n v="0.29245798319327732"/>
        <n v="0.1216274509803921"/>
        <n v="0.2501010101010101"/>
        <n v="0.30554385964912284"/>
        <n v="0.26233333333333325"/>
        <n v="0.2480464"/>
        <n v="0.40157894736842109"/>
        <n v="0.14412705882352941"/>
        <n v="0.23015116959064322"/>
        <n v="0.27727543859649129"/>
        <n v="0.15776059259259254"/>
        <n v="6.7511111111111105E-2"/>
        <n v="0.11728858024691353"/>
        <n v="0.23997829959514175"/>
        <n v="-5.8744444444444446E-2"/>
        <n v="0.27949206349206351"/>
        <n v="4.3604705882352872E-2"/>
        <n v="9.8113165266106431E-2"/>
        <n v="0.36433194331983804"/>
        <n v="0.30530793650793642"/>
        <n v="0.33531846153846151"/>
        <n v="0.27346931818181813"/>
        <n v="7.6725925925925876E-3"/>
        <n v="0.2081180555555556"/>
        <n v="-2.6621212121211682E-3"/>
        <n v="0.10775167410714288"/>
        <n v="0"/>
        <n v="0.43752232142857145"/>
        <n v="0.37911111111111107"/>
        <n v="0.2283944444444444"/>
        <n v="8.9113411764705872E-2"/>
        <n v="0.14894851190476185"/>
        <n v="0.12098065843621407"/>
        <n v="0.24783823529411761"/>
        <n v="0.35106823529411763"/>
        <n v="0.19867843137254901"/>
        <n v="0.20512960000000005"/>
        <n v="0.27515873015873016"/>
        <n v="0.32301666666666662"/>
        <n v="0.18253497975708508"/>
        <n v="0.33855226337448557"/>
        <n v="5.3885882352941145E-2"/>
        <n v="0.2290666666666667"/>
        <n v="0.33294886363636361"/>
        <n v="5.3375555555555537E-2"/>
        <n v="0.1302304"/>
        <n v="0.12479300411522638"/>
        <n v="5.6619318181818236E-2"/>
        <n v="0.17907678571428567"/>
        <n v="0.17803292181069955"/>
        <n v="0.20001333333333332"/>
        <n v="0.31848646616541354"/>
        <n v="0.21436571428571435"/>
        <n v="0.31670171945701359"/>
        <n v="0.3633346031746032"/>
        <n v="0.25848796791443845"/>
        <n v="0.1907605158730159"/>
        <n v="5.2893939393939451E-2"/>
        <n v="0.15254166666666666"/>
        <n v="0.43389777777777777"/>
        <n v="0.13025568181818181"/>
        <n v="0.14766736842105263"/>
        <n v="0.33444290123456782"/>
        <n v="0.22901074074074076"/>
        <n v="0.32496732026143793"/>
        <n v="0.27370813397129184"/>
        <n v="9.2170370370370319E-2"/>
        <n v="0.32540833333333335"/>
        <n v="0.29122923976608189"/>
        <n v="0.10861450617283952"/>
        <n v="0.14903482142857147"/>
        <n v="0.36409241071428577"/>
        <n v="-1.3306826923076956E-2"/>
        <n v="-8.2518095238095293E-2"/>
        <n v="4.9861568627451024E-2"/>
        <n v="4.2175210084033632E-2"/>
        <n v="0.37079071794871798"/>
        <n v="0.28543714285714289"/>
        <n v="0.18883672839506177"/>
        <n v="0.21153518518518519"/>
        <n v="0.1712696078431373"/>
        <n v="-1.3525497435897421E-2"/>
      </sharedItems>
    </cacheField>
    <cacheField name="Discount" numFmtId="0">
      <sharedItems containsSemiMixedTypes="0" containsString="0" containsNumber="1" minValue="0" maxValue="0.6" count="7">
        <n v="0.05"/>
        <n v="0.1"/>
        <n v="0.25"/>
        <n v="0.2"/>
        <n v="0"/>
        <n v="0.15"/>
        <n v="0.6"/>
      </sharedItems>
    </cacheField>
    <cacheField name="Order_Status" numFmtId="0">
      <sharedItems count="3">
        <s v="Completed"/>
        <s v="Cancelled"/>
        <s v="Returned"/>
      </sharedItems>
    </cacheField>
    <cacheField name="Payment_Mode" numFmtId="0">
      <sharedItems/>
    </cacheField>
    <cacheField name="Years" numFmtId="0" databaseField="0">
      <fieldGroup base="1">
        <rangePr groupBy="years" startDate="2026-01-01T00:00:00" endDate="2026-09-26T00:00:00"/>
        <groupItems count="3">
          <s v="&lt;01-01-2026"/>
          <s v="2026"/>
          <s v="&gt;26-09-2026"/>
        </groupItems>
      </fieldGroup>
    </cacheField>
  </cacheFields>
  <extLst>
    <ext xmlns:x14="http://schemas.microsoft.com/office/spreadsheetml/2009/9/main" uri="{725AE2AE-9491-48be-B2B4-4EB974FC3084}">
      <x14:pivotCacheDefinition pivotCacheId="14886386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s v="C1024"/>
    <s v="Priya S"/>
    <x v="0"/>
    <s v="Electronics"/>
    <x v="0"/>
    <s v="Small Business"/>
    <n v="3"/>
    <n v="185250"/>
    <n v="119002.05"/>
    <n v="66247.95"/>
    <x v="0"/>
    <x v="0"/>
    <x v="0"/>
    <s v="UPI"/>
  </r>
  <r>
    <s v="ORD0002"/>
    <x v="1"/>
    <s v="C1001"/>
    <s v="Anita R"/>
    <x v="1"/>
    <s v="Electronics"/>
    <x v="1"/>
    <s v="Consumer"/>
    <n v="2"/>
    <n v="2280"/>
    <n v="1647.47"/>
    <n v="632.53"/>
    <x v="1"/>
    <x v="0"/>
    <x v="0"/>
    <s v="Debit Card"/>
  </r>
  <r>
    <s v="ORD0003"/>
    <x v="2"/>
    <s v="C1007"/>
    <s v="Meena P"/>
    <x v="2"/>
    <s v="Electronics"/>
    <x v="0"/>
    <s v="Consumer"/>
    <n v="4"/>
    <n v="12600"/>
    <n v="8750.35"/>
    <n v="3849.6499999999996"/>
    <x v="2"/>
    <x v="1"/>
    <x v="0"/>
    <s v="UPI"/>
  </r>
  <r>
    <s v="ORD0004"/>
    <x v="3"/>
    <s v="C1024"/>
    <s v="Sneha T"/>
    <x v="3"/>
    <s v="Furniture"/>
    <x v="0"/>
    <s v="Corporate"/>
    <n v="5"/>
    <n v="54000"/>
    <n v="46075.48"/>
    <n v="7924.5199999999968"/>
    <x v="3"/>
    <x v="1"/>
    <x v="0"/>
    <s v="Debit Card"/>
  </r>
  <r>
    <s v="ORD0005"/>
    <x v="4"/>
    <s v="C1022"/>
    <s v="Anita R"/>
    <x v="4"/>
    <s v="Fashion"/>
    <x v="2"/>
    <s v="Consumer"/>
    <n v="2"/>
    <n v="3750"/>
    <n v="2843.9"/>
    <n v="906.09999999999991"/>
    <x v="4"/>
    <x v="2"/>
    <x v="0"/>
    <s v="UPI"/>
  </r>
  <r>
    <s v="ORD0006"/>
    <x v="5"/>
    <s v="C1006"/>
    <s v="Arun Kumar"/>
    <x v="5"/>
    <s v="Furniture"/>
    <x v="2"/>
    <s v="Consumer"/>
    <n v="4"/>
    <n v="27000"/>
    <n v="27907.55"/>
    <n v="-907.54999999999927"/>
    <x v="5"/>
    <x v="2"/>
    <x v="1"/>
    <s v="Debit Card"/>
  </r>
  <r>
    <s v="ORD0007"/>
    <x v="6"/>
    <s v="C1006"/>
    <s v="Sneha T"/>
    <x v="4"/>
    <s v="Fashion"/>
    <x v="1"/>
    <s v="Corporate"/>
    <n v="2"/>
    <n v="4000"/>
    <n v="3734.32"/>
    <n v="265.67999999999984"/>
    <x v="6"/>
    <x v="3"/>
    <x v="0"/>
    <s v="Credit Card"/>
  </r>
  <r>
    <s v="ORD0008"/>
    <x v="7"/>
    <s v="C1013"/>
    <s v="Vijay K"/>
    <x v="0"/>
    <s v="Electronics"/>
    <x v="0"/>
    <s v="Consumer"/>
    <n v="2"/>
    <n v="130000"/>
    <n v="99757.11"/>
    <n v="30242.89"/>
    <x v="7"/>
    <x v="4"/>
    <x v="0"/>
    <s v="Debit Card"/>
  </r>
  <r>
    <s v="ORD0009"/>
    <x v="8"/>
    <s v="C1009"/>
    <s v="Rahul M"/>
    <x v="6"/>
    <s v="Footwear"/>
    <x v="3"/>
    <s v="Small Business"/>
    <n v="4"/>
    <n v="13500"/>
    <n v="12130.02"/>
    <n v="1369.9799999999996"/>
    <x v="8"/>
    <x v="2"/>
    <x v="0"/>
    <s v="Debit Card"/>
  </r>
  <r>
    <s v="ORD0010"/>
    <x v="9"/>
    <s v="C1005"/>
    <s v="Sneha T"/>
    <x v="4"/>
    <s v="Fashion"/>
    <x v="0"/>
    <s v="Consumer"/>
    <n v="4"/>
    <n v="9000"/>
    <n v="6092.17"/>
    <n v="2907.83"/>
    <x v="9"/>
    <x v="1"/>
    <x v="0"/>
    <s v="Credit Card"/>
  </r>
  <r>
    <s v="ORD0011"/>
    <x v="10"/>
    <s v="C1020"/>
    <s v="Sneha T"/>
    <x v="7"/>
    <s v="Accessories"/>
    <x v="2"/>
    <s v="Small Business"/>
    <n v="5"/>
    <n v="11000"/>
    <n v="7192.76"/>
    <n v="3807.24"/>
    <x v="10"/>
    <x v="4"/>
    <x v="0"/>
    <s v="UPI"/>
  </r>
  <r>
    <s v="ORD0012"/>
    <x v="11"/>
    <s v="C1015"/>
    <s v="Arun Kumar"/>
    <x v="3"/>
    <s v="Furniture"/>
    <x v="2"/>
    <s v="Small Business"/>
    <n v="1"/>
    <n v="10800"/>
    <n v="8008.64"/>
    <n v="2791.3599999999997"/>
    <x v="11"/>
    <x v="1"/>
    <x v="2"/>
    <s v="Credit Card"/>
  </r>
  <r>
    <s v="ORD0013"/>
    <x v="12"/>
    <s v="C1007"/>
    <s v="Rahul M"/>
    <x v="1"/>
    <s v="Electronics "/>
    <x v="2"/>
    <s v="Consumer"/>
    <n v="3"/>
    <n v="2700"/>
    <n v="2473.4499999999998"/>
    <n v="226.55000000000018"/>
    <x v="12"/>
    <x v="2"/>
    <x v="0"/>
    <s v="UPI"/>
  </r>
  <r>
    <s v="ORD0014"/>
    <x v="13"/>
    <s v="C1029"/>
    <s v="Vijay K"/>
    <x v="6"/>
    <s v="Footwear"/>
    <x v="3"/>
    <s v="Consumer"/>
    <n v="1"/>
    <n v="4500"/>
    <n v="3603.85"/>
    <n v="896.15000000000009"/>
    <x v="13"/>
    <x v="4"/>
    <x v="0"/>
    <s v="UPI"/>
  </r>
  <r>
    <s v="ORD0015"/>
    <x v="14"/>
    <s v="C1005"/>
    <s v="Sneha T"/>
    <x v="6"/>
    <s v="Footwear"/>
    <x v="3"/>
    <s v="Corporate"/>
    <n v="1"/>
    <n v="3600"/>
    <n v="3405.49"/>
    <n v="194.51000000000022"/>
    <x v="14"/>
    <x v="3"/>
    <x v="0"/>
    <s v="Net Banking"/>
  </r>
  <r>
    <s v="ORD0016"/>
    <x v="8"/>
    <s v="C1022"/>
    <s v="Meena P"/>
    <x v="8"/>
    <s v="Fashion"/>
    <x v="1"/>
    <s v="Small Business"/>
    <n v="2"/>
    <n v="2700"/>
    <n v="2282.9899999999998"/>
    <n v="417.01000000000022"/>
    <x v="15"/>
    <x v="2"/>
    <x v="0"/>
    <s v="UPI"/>
  </r>
  <r>
    <s v="ORD0017"/>
    <x v="15"/>
    <s v="C1018"/>
    <s v="Anita R"/>
    <x v="9"/>
    <s v="Electronics"/>
    <x v="3"/>
    <s v="Consumer"/>
    <n v="1"/>
    <n v="25200"/>
    <n v="15559.02"/>
    <n v="9640.98"/>
    <x v="16"/>
    <x v="1"/>
    <x v="0"/>
    <s v="UPI"/>
  </r>
  <r>
    <s v="ORD0018"/>
    <x v="16"/>
    <s v="C1008"/>
    <s v="Vijay K"/>
    <x v="1"/>
    <s v="Electronics"/>
    <x v="1"/>
    <s v="Consumer"/>
    <n v="1"/>
    <n v="1080"/>
    <n v="682.96"/>
    <n v="397.03999999999996"/>
    <x v="17"/>
    <x v="1"/>
    <x v="0"/>
    <s v="Credit Card"/>
  </r>
  <r>
    <s v="ORD0019"/>
    <x v="17"/>
    <s v="C1004"/>
    <s v="Karthik S"/>
    <x v="9"/>
    <s v="Electronics"/>
    <x v="2"/>
    <s v="Corporate"/>
    <n v="4"/>
    <n v="95200"/>
    <n v="67358"/>
    <n v="27842"/>
    <x v="18"/>
    <x v="5"/>
    <x v="0"/>
    <s v="Net Banking"/>
  </r>
  <r>
    <s v="ORD0020"/>
    <x v="18"/>
    <s v="C1026"/>
    <s v="Priya S"/>
    <x v="1"/>
    <s v="Electronics"/>
    <x v="3"/>
    <s v="Consumer"/>
    <n v="1"/>
    <n v="1020"/>
    <n v="895.94"/>
    <n v="124.05999999999995"/>
    <x v="19"/>
    <x v="5"/>
    <x v="0"/>
    <s v="Net Banking"/>
  </r>
  <r>
    <s v="ORD0021"/>
    <x v="19"/>
    <s v="C1028"/>
    <s v="Priya S"/>
    <x v="7"/>
    <s v="electronic"/>
    <x v="1"/>
    <s v="Small Business"/>
    <n v="2"/>
    <n v="3960"/>
    <n v="2969.6"/>
    <n v="990.40000000000009"/>
    <x v="20"/>
    <x v="1"/>
    <x v="0"/>
    <s v="UPI"/>
  </r>
  <r>
    <s v="ORD0022"/>
    <x v="20"/>
    <s v="C1016"/>
    <s v="Anita R"/>
    <x v="1"/>
    <s v="Electronics"/>
    <x v="1"/>
    <s v="Consumer"/>
    <n v="2"/>
    <n v="2280"/>
    <n v="1583.36"/>
    <n v="696.6400000000001"/>
    <x v="21"/>
    <x v="0"/>
    <x v="0"/>
    <s v="Net Banking"/>
  </r>
  <r>
    <s v="ORD0023"/>
    <x v="21"/>
    <s v="C1023"/>
    <s v="Sneha T"/>
    <x v="7"/>
    <s v="Accessories"/>
    <x v="3"/>
    <s v="Consumer"/>
    <n v="3"/>
    <n v="5610"/>
    <n v="4138.3100000000004"/>
    <n v="1471.6899999999996"/>
    <x v="22"/>
    <x v="5"/>
    <x v="0"/>
    <s v="Credit Card"/>
  </r>
  <r>
    <s v="ORD0024"/>
    <x v="22"/>
    <s v="C1002"/>
    <s v="Arun Kumar"/>
    <x v="4"/>
    <s v="Fashion"/>
    <x v="1"/>
    <s v="Small Business"/>
    <n v="5"/>
    <n v="12500"/>
    <n v="9399.42"/>
    <n v="3100.58"/>
    <x v="23"/>
    <x v="4"/>
    <x v="0"/>
    <s v="Credit Card"/>
  </r>
  <r>
    <s v="ORD0025"/>
    <x v="22"/>
    <s v="C1003"/>
    <s v="Anita R"/>
    <x v="8"/>
    <s v="Fashion"/>
    <x v="1"/>
    <s v="Consumer"/>
    <n v="1"/>
    <n v="1710"/>
    <n v="1023.3"/>
    <n v="686.7"/>
    <x v="24"/>
    <x v="0"/>
    <x v="0"/>
    <s v="Credit Card"/>
  </r>
  <r>
    <s v="ORD0026"/>
    <x v="23"/>
    <s v="C1019"/>
    <s v="Meena P"/>
    <x v="4"/>
    <s v="Fashion"/>
    <x v="2"/>
    <s v="Consumer"/>
    <n v="1"/>
    <n v="2125"/>
    <n v="1818.73"/>
    <n v="306.27"/>
    <x v="25"/>
    <x v="5"/>
    <x v="1"/>
    <s v="Debit Card"/>
  </r>
  <r>
    <s v="ORD0027"/>
    <x v="24"/>
    <s v="C1010"/>
    <s v="Sneha T"/>
    <x v="5"/>
    <s v="Furniture"/>
    <x v="2"/>
    <s v="Consumer"/>
    <n v="4"/>
    <n v="34200"/>
    <n v="26328.83"/>
    <n v="7871.1699999999983"/>
    <x v="26"/>
    <x v="0"/>
    <x v="0"/>
    <s v="Net Banking"/>
  </r>
  <r>
    <s v="ORD0028"/>
    <x v="25"/>
    <s v="C1005"/>
    <s v="Meena P"/>
    <x v="1"/>
    <s v="Electronics"/>
    <x v="0"/>
    <s v="Consumer"/>
    <n v="5"/>
    <n v="5700"/>
    <n v="4119.53"/>
    <n v="1580.4700000000003"/>
    <x v="27"/>
    <x v="0"/>
    <x v="0"/>
    <s v="Debit Card"/>
  </r>
  <r>
    <s v="ORD0029"/>
    <x v="26"/>
    <s v="C1026"/>
    <s v="Arun Kumar"/>
    <x v="6"/>
    <s v="Footwear"/>
    <x v="2"/>
    <s v="Small Business"/>
    <n v="5"/>
    <n v="16875"/>
    <n v="14212.79"/>
    <n v="2662.2099999999991"/>
    <x v="28"/>
    <x v="2"/>
    <x v="0"/>
    <s v="Credit Card"/>
  </r>
  <r>
    <s v="ORD0030"/>
    <x v="27"/>
    <s v="C1009"/>
    <s v="Vijay K"/>
    <x v="1"/>
    <s v="Electronics"/>
    <x v="3"/>
    <s v="Small Business"/>
    <n v="1"/>
    <n v="900"/>
    <n v="839.24"/>
    <n v="60.759999999999991"/>
    <x v="29"/>
    <x v="2"/>
    <x v="0"/>
    <s v="Credit Card"/>
  </r>
  <r>
    <s v="ORD0031"/>
    <x v="27"/>
    <s v="C1028"/>
    <s v="Arun Kumar"/>
    <x v="8"/>
    <s v="Fashion"/>
    <x v="0"/>
    <s v="Small Business"/>
    <n v="4"/>
    <n v="6480"/>
    <n v="5719.97"/>
    <n v="760.02999999999975"/>
    <x v="30"/>
    <x v="1"/>
    <x v="0"/>
    <s v="Debit Card"/>
  </r>
  <r>
    <s v="ORD0032"/>
    <x v="28"/>
    <s v="C1009"/>
    <s v="Rahul M"/>
    <x v="0"/>
    <s v="Electronics"/>
    <x v="1"/>
    <s v="Small Business"/>
    <n v="3"/>
    <n v="185250"/>
    <n v="140794.01999999999"/>
    <n v="44455.98000000001"/>
    <x v="31"/>
    <x v="0"/>
    <x v="2"/>
    <s v="Net Banking"/>
  </r>
  <r>
    <s v="ORD0033"/>
    <x v="29"/>
    <s v="C1018"/>
    <s v="Arun Kumar"/>
    <x v="1"/>
    <s v="Electronics"/>
    <x v="2"/>
    <s v="Small Business"/>
    <n v="1"/>
    <n v="900"/>
    <n v="952.87"/>
    <n v="-52.870000000000005"/>
    <x v="32"/>
    <x v="2"/>
    <x v="0"/>
    <s v="Credit Card"/>
  </r>
  <r>
    <s v="ORD0034"/>
    <x v="30"/>
    <s v="C1030"/>
    <s v="Arun Kumar"/>
    <x v="2"/>
    <s v="Electronics"/>
    <x v="2"/>
    <s v="Consumer"/>
    <n v="1"/>
    <n v="3150"/>
    <n v="2269.6"/>
    <n v="880.40000000000009"/>
    <x v="33"/>
    <x v="1"/>
    <x v="1"/>
    <s v="Credit Card"/>
  </r>
  <r>
    <s v="ORD0035"/>
    <x v="31"/>
    <s v="C1024"/>
    <s v="Rahul M"/>
    <x v="3"/>
    <s v="Furniture"/>
    <x v="3"/>
    <s v="Consumer"/>
    <n v="5"/>
    <n v="51000"/>
    <n v="48776.160000000003"/>
    <n v="2223.8399999999965"/>
    <x v="34"/>
    <x v="5"/>
    <x v="0"/>
    <s v="Net Banking"/>
  </r>
  <r>
    <s v="ORD0036"/>
    <x v="32"/>
    <s v="C1028"/>
    <s v="Anita R"/>
    <x v="2"/>
    <s v="Electronics"/>
    <x v="2"/>
    <s v="Consumer"/>
    <n v="3"/>
    <n v="8925"/>
    <n v="8049.34"/>
    <n v="875.65999999999985"/>
    <x v="35"/>
    <x v="5"/>
    <x v="1"/>
    <s v="UPI"/>
  </r>
  <r>
    <s v="ORD0037"/>
    <x v="33"/>
    <s v="C1030"/>
    <s v="Sneha T"/>
    <x v="0"/>
    <s v="Electronics"/>
    <x v="2"/>
    <s v="Corporate"/>
    <m/>
    <n v="247000"/>
    <n v="157010.01"/>
    <n v="89989.989999999991"/>
    <x v="36"/>
    <x v="0"/>
    <x v="0"/>
    <s v="Credit Card"/>
  </r>
  <r>
    <s v="ORD0038"/>
    <x v="32"/>
    <s v="C1003"/>
    <s v="Vijay K"/>
    <x v="9"/>
    <s v="Electronics"/>
    <x v="2"/>
    <s v="Small Business"/>
    <n v="4"/>
    <n v="100800"/>
    <n v="70024.960000000006"/>
    <n v="30775.039999999994"/>
    <x v="37"/>
    <x v="1"/>
    <x v="0"/>
    <s v="Net Banking"/>
  </r>
  <r>
    <s v="ORD0039"/>
    <x v="34"/>
    <s v="C1009"/>
    <s v="Arun Kumar"/>
    <x v="0"/>
    <s v="Electronics"/>
    <x v="0"/>
    <s v="Small Business"/>
    <n v="1"/>
    <n v="58500"/>
    <n v="38883.870000000003"/>
    <n v="19616.129999999997"/>
    <x v="38"/>
    <x v="1"/>
    <x v="0"/>
    <s v="Debit Card"/>
  </r>
  <r>
    <s v="ORD0040"/>
    <x v="35"/>
    <s v="C1029"/>
    <s v="Anita R"/>
    <x v="7"/>
    <s v="Accessories"/>
    <x v="2"/>
    <s v="Consumer"/>
    <n v="5"/>
    <n v="8800"/>
    <n v="6393.47"/>
    <n v="2406.5299999999997"/>
    <x v="39"/>
    <x v="3"/>
    <x v="2"/>
    <s v="Net Banking"/>
  </r>
  <r>
    <s v="ORD0041"/>
    <x v="36"/>
    <s v="C1024"/>
    <s v="Anita R"/>
    <x v="8"/>
    <s v="Fashion"/>
    <x v="2"/>
    <s v="Corporate"/>
    <n v="5"/>
    <n v="6750"/>
    <n v="6698.21"/>
    <n v="51.789999999999964"/>
    <x v="40"/>
    <x v="2"/>
    <x v="0"/>
    <s v="Debit Card"/>
  </r>
  <r>
    <s v="ORD0042"/>
    <x v="35"/>
    <s v="C1014"/>
    <s v="Meena P"/>
    <x v="1"/>
    <s v="Electronics"/>
    <x v="1"/>
    <s v="Small Business"/>
    <n v="3"/>
    <n v="2880"/>
    <n v="2280.62"/>
    <n v="599.38000000000011"/>
    <x v="41"/>
    <x v="3"/>
    <x v="0"/>
    <s v="Credit Card"/>
  </r>
  <r>
    <s v="ORD0043"/>
    <x v="37"/>
    <s v="C1006"/>
    <s v="Vijay K"/>
    <x v="7"/>
    <s v="Accessories"/>
    <x v="1"/>
    <s v="Small Business"/>
    <n v="4"/>
    <n v="6600"/>
    <n v="6617.57"/>
    <n v="-17.569999999999709"/>
    <x v="42"/>
    <x v="2"/>
    <x v="0"/>
    <s v="Debit Card"/>
  </r>
  <r>
    <s v="ORD0044"/>
    <x v="38"/>
    <s v="C1011"/>
    <s v="Sneha T"/>
    <x v="9"/>
    <s v="Electronics"/>
    <x v="1"/>
    <s v="Corporate"/>
    <n v="4"/>
    <n v="89600"/>
    <n v="79945.45"/>
    <n v="9654.5500000000029"/>
    <x v="43"/>
    <x v="3"/>
    <x v="1"/>
    <s v="Credit Card"/>
  </r>
  <r>
    <s v="ORD0045"/>
    <x v="39"/>
    <s v="C1017"/>
    <s v="Meena P"/>
    <x v="6"/>
    <s v="Footwear"/>
    <x v="0"/>
    <s v="Consumer"/>
    <n v="2"/>
    <m/>
    <n v="5156.05"/>
    <n v="-5156.05"/>
    <x v="44"/>
    <x v="2"/>
    <x v="1"/>
    <s v="Debit Card"/>
  </r>
  <r>
    <s v="ORD0046"/>
    <x v="40"/>
    <s v="C1016"/>
    <s v="Priya S"/>
    <x v="9"/>
    <s v="Electronics"/>
    <x v="1"/>
    <s v="Corporate"/>
    <n v="2"/>
    <n v="56000"/>
    <n v="31498.75"/>
    <n v="24501.25"/>
    <x v="45"/>
    <x v="4"/>
    <x v="0"/>
    <s v="Credit Card"/>
  </r>
  <r>
    <s v="ORD0047"/>
    <x v="41"/>
    <s v="C1023"/>
    <s v="Arun Kumar"/>
    <x v="6"/>
    <s v="Footwear"/>
    <x v="0"/>
    <s v="Corporate"/>
    <n v="4"/>
    <n v="17100"/>
    <n v="10617.2"/>
    <n v="6482.7999999999993"/>
    <x v="46"/>
    <x v="0"/>
    <x v="0"/>
    <s v="Credit Card"/>
  </r>
  <r>
    <s v="ORD0048"/>
    <x v="42"/>
    <s v="C1028"/>
    <s v="Priya S"/>
    <x v="6"/>
    <s v="Footwear"/>
    <x v="1"/>
    <s v="Consumer"/>
    <n v="1"/>
    <n v="3600"/>
    <n v="2777.78"/>
    <n v="822.2199999999998"/>
    <x v="47"/>
    <x v="3"/>
    <x v="0"/>
    <s v="Debit Card"/>
  </r>
  <r>
    <s v="ORD0049"/>
    <x v="43"/>
    <s v="C1018"/>
    <s v="Sneha T"/>
    <x v="4"/>
    <s v="Fashion"/>
    <x v="3"/>
    <s v="Small Business"/>
    <n v="5"/>
    <n v="10625"/>
    <n v="9678.17"/>
    <n v="946.82999999999993"/>
    <x v="48"/>
    <x v="5"/>
    <x v="0"/>
    <s v="Net Banking"/>
  </r>
  <r>
    <s v="ORD0050"/>
    <x v="44"/>
    <s v="C1008"/>
    <s v="Vijay K"/>
    <x v="9"/>
    <s v="Electronics"/>
    <x v="1"/>
    <s v="Consumer"/>
    <n v="3"/>
    <n v="67200"/>
    <n v="57190.66"/>
    <n v="10009.339999999997"/>
    <x v="49"/>
    <x v="3"/>
    <x v="2"/>
    <s v="Debit Card"/>
  </r>
  <r>
    <s v="ORD0051"/>
    <x v="45"/>
    <s v="C1003"/>
    <s v="Rahul M"/>
    <x v="5"/>
    <s v="Furniture"/>
    <x v="3"/>
    <s v="Consumer"/>
    <n v="3"/>
    <n v="24300"/>
    <n v="21360.17"/>
    <n v="2939.8300000000017"/>
    <x v="50"/>
    <x v="1"/>
    <x v="0"/>
    <s v="Credit Card"/>
  </r>
  <r>
    <s v="ORD0052"/>
    <x v="46"/>
    <s v="C1015"/>
    <s v="Karthik S"/>
    <x v="1"/>
    <s v="Electronics"/>
    <x v="0"/>
    <s v="Consumer"/>
    <n v="4"/>
    <n v="4080"/>
    <n v="3068.82"/>
    <n v="1011.1799999999998"/>
    <x v="51"/>
    <x v="5"/>
    <x v="0"/>
    <s v="Net Banking"/>
  </r>
  <r>
    <s v="ORD0053"/>
    <x v="47"/>
    <s v="C1012"/>
    <s v="Vijay K"/>
    <x v="4"/>
    <s v="Fashion"/>
    <x v="1"/>
    <s v="Corporate"/>
    <n v="4"/>
    <n v="8500"/>
    <n v="5515.92"/>
    <n v="2984.08"/>
    <x v="52"/>
    <x v="5"/>
    <x v="0"/>
    <s v="Credit Card"/>
  </r>
  <r>
    <s v="ORD0054"/>
    <x v="48"/>
    <s v="C1013"/>
    <s v="Meena P"/>
    <x v="9"/>
    <s v="Electronics"/>
    <x v="1"/>
    <s v="Small Business"/>
    <n v="3"/>
    <n v="71400"/>
    <n v="57214.36"/>
    <n v="14185.64"/>
    <x v="53"/>
    <x v="5"/>
    <x v="0"/>
    <s v="Net Banking"/>
  </r>
  <r>
    <s v="ORD0055"/>
    <x v="49"/>
    <s v="C1019"/>
    <s v="Arun Kumar"/>
    <x v="4"/>
    <s v="Fashion"/>
    <x v="0"/>
    <s v="Small Business"/>
    <n v="5"/>
    <n v="12500"/>
    <n v="9935.8799999999992"/>
    <n v="2564.1200000000008"/>
    <x v="54"/>
    <x v="4"/>
    <x v="0"/>
    <s v="Credit Card"/>
  </r>
  <r>
    <s v="ORD0056"/>
    <x v="50"/>
    <s v="C1007"/>
    <s v="Sneha T"/>
    <x v="2"/>
    <s v="Electronics"/>
    <x v="2"/>
    <s v="Corporate"/>
    <n v="1"/>
    <n v="3150"/>
    <n v="2283.25"/>
    <n v="866.75"/>
    <x v="55"/>
    <x v="6"/>
    <x v="2"/>
    <s v="Net Banking"/>
  </r>
  <r>
    <s v="ORD0057"/>
    <x v="51"/>
    <s v="C1024"/>
    <s v="Arun Kumar"/>
    <x v="7"/>
    <s v="Accessories"/>
    <x v="2"/>
    <s v="Consumer"/>
    <n v="3"/>
    <n v="6600"/>
    <n v="4468.09"/>
    <n v="2131.91"/>
    <x v="56"/>
    <x v="4"/>
    <x v="1"/>
    <s v="UPI"/>
  </r>
  <r>
    <s v="ORD0058"/>
    <x v="23"/>
    <s v="C1020"/>
    <s v="Rahul M"/>
    <x v="0"/>
    <s v="Electronics"/>
    <x v="3"/>
    <s v="Consumer"/>
    <n v="2"/>
    <n v="123500"/>
    <n v="100956.93"/>
    <n v="22543.070000000007"/>
    <x v="57"/>
    <x v="0"/>
    <x v="0"/>
    <s v="UPI"/>
  </r>
  <r>
    <s v="ORD0059"/>
    <x v="52"/>
    <s v="C1020"/>
    <s v="Priya S"/>
    <x v="6"/>
    <s v="Footwear"/>
    <x v="3"/>
    <s v="Corporate"/>
    <n v="3"/>
    <n v="12150"/>
    <n v="8036.59"/>
    <n v="4113.41"/>
    <x v="58"/>
    <x v="1"/>
    <x v="0"/>
    <s v="UPI"/>
  </r>
  <r>
    <s v="ORD0060"/>
    <x v="53"/>
    <s v="C1007"/>
    <s v="Priya S"/>
    <x v="4"/>
    <s v="Fashion"/>
    <x v="3"/>
    <s v="Consumer"/>
    <n v="4"/>
    <n v="8500"/>
    <n v="8041.97"/>
    <n v="458.02999999999975"/>
    <x v="59"/>
    <x v="5"/>
    <x v="1"/>
    <s v="Debit Card"/>
  </r>
  <r>
    <s v="ORD0061"/>
    <x v="54"/>
    <s v="C1022"/>
    <s v="Meena P"/>
    <x v="4"/>
    <s v="Fashion"/>
    <x v="0"/>
    <s v="Small Business"/>
    <n v="1"/>
    <n v="2250"/>
    <n v="1734.6"/>
    <n v="515.40000000000009"/>
    <x v="60"/>
    <x v="1"/>
    <x v="1"/>
    <s v="Debit Card"/>
  </r>
  <r>
    <s v="ORD0062"/>
    <x v="55"/>
    <s v="C1012"/>
    <s v="Sneha T"/>
    <x v="7"/>
    <s v="Accessories"/>
    <x v="3"/>
    <s v="Corporate"/>
    <n v="4"/>
    <n v="8800"/>
    <n v="5870.05"/>
    <n v="2929.95"/>
    <x v="61"/>
    <x v="4"/>
    <x v="0"/>
    <s v="Debit Card"/>
  </r>
  <r>
    <s v="ORD0063"/>
    <x v="56"/>
    <s v="C1011"/>
    <s v="Anita R"/>
    <x v="6"/>
    <s v="Footwear"/>
    <x v="0"/>
    <s v="Corporate"/>
    <n v="4"/>
    <n v="13500"/>
    <n v="12779.43"/>
    <n v="720.56999999999971"/>
    <x v="62"/>
    <x v="2"/>
    <x v="0"/>
    <s v="Credit Card"/>
  </r>
  <r>
    <s v="ORD0064"/>
    <x v="57"/>
    <s v="C1001"/>
    <s v="Sneha T"/>
    <x v="4"/>
    <s v="Fashion"/>
    <x v="2"/>
    <s v="Consumer"/>
    <n v="5"/>
    <n v="9375"/>
    <n v="8154.09"/>
    <n v="1220.9099999999999"/>
    <x v="63"/>
    <x v="2"/>
    <x v="0"/>
    <s v="Credit Card"/>
  </r>
  <r>
    <s v="ORD0065"/>
    <x v="58"/>
    <s v="C1023"/>
    <s v="Vijay K"/>
    <x v="5"/>
    <s v="Furniture"/>
    <x v="0"/>
    <s v="Small Business"/>
    <n v="3"/>
    <n v="24300"/>
    <n v="21267.53"/>
    <n v="3032.4700000000012"/>
    <x v="64"/>
    <x v="1"/>
    <x v="0"/>
    <s v="UPI"/>
  </r>
  <r>
    <s v="ORD0066"/>
    <x v="59"/>
    <s v="C1023"/>
    <s v="Sneha T"/>
    <x v="7"/>
    <s v="Accessories"/>
    <x v="1"/>
    <s v="Corporate"/>
    <n v="4"/>
    <n v="7040"/>
    <n v="6641.4"/>
    <n v="398.60000000000036"/>
    <x v="65"/>
    <x v="3"/>
    <x v="0"/>
    <s v="UPI"/>
  </r>
  <r>
    <s v="ORD0067"/>
    <x v="60"/>
    <s v="C1022"/>
    <s v="Meena P"/>
    <x v="9"/>
    <s v="Electronics"/>
    <x v="1"/>
    <s v="Small Business"/>
    <n v="4"/>
    <n v="84000"/>
    <n v="68957.55"/>
    <n v="15042.449999999997"/>
    <x v="66"/>
    <x v="2"/>
    <x v="0"/>
    <s v="Debit Card"/>
  </r>
  <r>
    <s v="ORD0068"/>
    <x v="61"/>
    <s v="C1009"/>
    <s v="Vijay K"/>
    <x v="8"/>
    <s v="Fashion"/>
    <x v="2"/>
    <s v="Consumer"/>
    <n v="3"/>
    <n v="4860"/>
    <n v="3994.76"/>
    <n v="865.23999999999978"/>
    <x v="67"/>
    <x v="1"/>
    <x v="0"/>
    <s v="Credit Card"/>
  </r>
  <r>
    <s v="ORD0069"/>
    <x v="62"/>
    <s v="C1007"/>
    <s v="Sneha T"/>
    <x v="1"/>
    <s v="Electronics"/>
    <x v="2"/>
    <s v="Small Business"/>
    <n v="5"/>
    <n v="4500"/>
    <n v="3599.94"/>
    <n v="900.06"/>
    <x v="68"/>
    <x v="2"/>
    <x v="0"/>
    <s v="Debit Card"/>
  </r>
  <r>
    <s v="ORD0070"/>
    <x v="25"/>
    <s v="C1010"/>
    <s v="Arun Kumar"/>
    <x v="9"/>
    <s v="Electronics"/>
    <x v="3"/>
    <s v="Corporate"/>
    <n v="3"/>
    <n v="79800"/>
    <n v="54384.78"/>
    <n v="25415.22"/>
    <x v="69"/>
    <x v="0"/>
    <x v="0"/>
    <s v="UPI"/>
  </r>
  <r>
    <s v="ORD0071"/>
    <x v="63"/>
    <s v="C1019"/>
    <s v="Vijay K"/>
    <x v="2"/>
    <s v="Electronics"/>
    <x v="1"/>
    <s v="Corporate"/>
    <n v="4"/>
    <n v="14000"/>
    <n v="10998.88"/>
    <n v="3001.1200000000008"/>
    <x v="70"/>
    <x v="4"/>
    <x v="0"/>
    <s v="Debit Card"/>
  </r>
  <r>
    <s v="ORD0072"/>
    <x v="64"/>
    <s v="C1003"/>
    <s v="Karthik S"/>
    <x v="0"/>
    <s v="Electronics"/>
    <x v="1"/>
    <s v="Consumer"/>
    <n v="3"/>
    <n v="165750"/>
    <n v="113256.69"/>
    <n v="52493.31"/>
    <x v="71"/>
    <x v="5"/>
    <x v="0"/>
    <s v="UPI"/>
  </r>
  <r>
    <s v="ORD0073"/>
    <x v="65"/>
    <s v="C1008"/>
    <s v="Priya S"/>
    <x v="2"/>
    <s v="Electronics"/>
    <x v="1"/>
    <s v="Small Business"/>
    <n v="5"/>
    <n v="15750"/>
    <n v="10027.48"/>
    <n v="5722.52"/>
    <x v="72"/>
    <x v="1"/>
    <x v="0"/>
    <s v="Credit Card"/>
  </r>
  <r>
    <s v="ORD0074"/>
    <x v="66"/>
    <s v="C1019"/>
    <s v="Karthik S"/>
    <x v="7"/>
    <s v="Accessories"/>
    <x v="2"/>
    <s v="Small Business"/>
    <n v="4"/>
    <n v="7480"/>
    <n v="5546.51"/>
    <n v="1933.4899999999998"/>
    <x v="73"/>
    <x v="5"/>
    <x v="0"/>
    <s v="UPI"/>
  </r>
  <r>
    <s v="ORD0075"/>
    <x v="67"/>
    <s v="C1006"/>
    <s v="Anita R"/>
    <x v="9"/>
    <s v="Electronics"/>
    <x v="3"/>
    <s v="Small Business"/>
    <n v="2"/>
    <n v="50400"/>
    <n v="40785.67"/>
    <n v="9614.3300000000017"/>
    <x v="74"/>
    <x v="1"/>
    <x v="0"/>
    <s v="Credit Card"/>
  </r>
  <r>
    <s v="ORD0076"/>
    <x v="68"/>
    <s v="C1010"/>
    <s v="Arun Kumar"/>
    <x v="7"/>
    <s v="Accessories"/>
    <x v="3"/>
    <s v="Corporate"/>
    <n v="4"/>
    <n v="6600"/>
    <n v="6250.9"/>
    <n v="349.10000000000036"/>
    <x v="75"/>
    <x v="2"/>
    <x v="2"/>
    <s v="Debit Card"/>
  </r>
  <r>
    <s v="ORD0077"/>
    <x v="69"/>
    <s v="C1021"/>
    <s v="Anita R"/>
    <x v="1"/>
    <s v="Electronics"/>
    <x v="1"/>
    <s v="Consumer"/>
    <n v="2"/>
    <n v="2160"/>
    <n v="1830.51"/>
    <n v="329.49"/>
    <x v="76"/>
    <x v="1"/>
    <x v="0"/>
    <s v="Credit Card"/>
  </r>
  <r>
    <s v="ORD0078"/>
    <x v="70"/>
    <s v="C1026"/>
    <s v="Vijay K"/>
    <x v="5"/>
    <s v="Furniture"/>
    <x v="2"/>
    <s v="Corporate"/>
    <n v="2"/>
    <n v="18000"/>
    <n v="10189.84"/>
    <n v="7810.16"/>
    <x v="77"/>
    <x v="4"/>
    <x v="0"/>
    <s v="Net Banking"/>
  </r>
  <r>
    <s v="ORD0079"/>
    <x v="71"/>
    <s v="C1015"/>
    <s v="Priya S"/>
    <x v="7"/>
    <s v="Accessories"/>
    <x v="0"/>
    <s v="Corporate"/>
    <n v="3"/>
    <n v="5280"/>
    <n v="4592.25"/>
    <n v="687.75"/>
    <x v="78"/>
    <x v="3"/>
    <x v="2"/>
    <s v="Debit Card"/>
  </r>
  <r>
    <s v="ORD0080"/>
    <x v="72"/>
    <s v="C1027"/>
    <s v="Arun Kumar"/>
    <x v="0"/>
    <s v="Electronics"/>
    <x v="2"/>
    <s v="Small Business"/>
    <n v="1"/>
    <n v="61750"/>
    <n v="52631.54"/>
    <n v="9118.4599999999991"/>
    <x v="79"/>
    <x v="0"/>
    <x v="0"/>
    <s v="Credit Card"/>
  </r>
  <r>
    <s v="ORD0081"/>
    <x v="73"/>
    <s v="C1019"/>
    <s v="Karthik S"/>
    <x v="8"/>
    <s v="Fashion"/>
    <x v="1"/>
    <s v="Consumer"/>
    <n v="4"/>
    <n v="6480"/>
    <n v="4312.8100000000004"/>
    <n v="2167.1899999999996"/>
    <x v="80"/>
    <x v="1"/>
    <x v="0"/>
    <s v="Debit Card"/>
  </r>
  <r>
    <s v="ORD0082"/>
    <x v="74"/>
    <s v="C1006"/>
    <s v="Meena P"/>
    <x v="3"/>
    <s v="Furniture"/>
    <x v="1"/>
    <s v="Small Business"/>
    <n v="3"/>
    <n v="27000"/>
    <n v="20816.71"/>
    <n v="6183.2900000000009"/>
    <x v="81"/>
    <x v="2"/>
    <x v="0"/>
    <s v="Debit Card"/>
  </r>
  <r>
    <s v="ORD0083"/>
    <x v="75"/>
    <s v="C1009"/>
    <s v="Meena P"/>
    <x v="8"/>
    <s v="Fashion"/>
    <x v="0"/>
    <s v="Corporate"/>
    <n v="1"/>
    <n v="1530"/>
    <n v="1032.8"/>
    <n v="497.20000000000005"/>
    <x v="82"/>
    <x v="5"/>
    <x v="0"/>
    <s v="UPI"/>
  </r>
  <r>
    <s v="ORD0084"/>
    <x v="50"/>
    <s v="C1020"/>
    <s v="Sneha T"/>
    <x v="7"/>
    <s v="Accessories"/>
    <x v="1"/>
    <s v="Consumer"/>
    <n v="1"/>
    <n v="2090"/>
    <n v="1517.95"/>
    <n v="572.04999999999995"/>
    <x v="83"/>
    <x v="0"/>
    <x v="0"/>
    <s v="Debit Card"/>
  </r>
  <r>
    <s v="ORD0085"/>
    <x v="76"/>
    <s v="C1001"/>
    <s v="Anita R"/>
    <x v="5"/>
    <s v="Furniture"/>
    <x v="3"/>
    <s v="Corporate"/>
    <n v="4"/>
    <n v="27000"/>
    <n v="24511.4"/>
    <n v="2488.5999999999985"/>
    <x v="84"/>
    <x v="2"/>
    <x v="0"/>
    <s v="UPI"/>
  </r>
  <r>
    <s v="ORD0086"/>
    <x v="77"/>
    <s v="C1004"/>
    <s v="Rahul M"/>
    <x v="1"/>
    <s v="Electronics"/>
    <x v="1"/>
    <s v="Small Business"/>
    <n v="2"/>
    <n v="2400"/>
    <n v="1619.02"/>
    <n v="780.98"/>
    <x v="85"/>
    <x v="4"/>
    <x v="0"/>
    <s v="Debit Card"/>
  </r>
  <r>
    <s v="ORD0087"/>
    <x v="78"/>
    <s v="C1005"/>
    <s v="Karthik S"/>
    <x v="6"/>
    <s v="Footwear"/>
    <x v="3"/>
    <s v="Small Business"/>
    <n v="4"/>
    <n v="17100"/>
    <n v="12119.98"/>
    <n v="4980.0200000000004"/>
    <x v="86"/>
    <x v="0"/>
    <x v="0"/>
    <s v="Credit Card"/>
  </r>
  <r>
    <s v="ORD0088"/>
    <x v="79"/>
    <s v="C1017"/>
    <s v="Vijay K"/>
    <x v="5"/>
    <s v="Furniture"/>
    <x v="0"/>
    <s v="Corporate"/>
    <n v="4"/>
    <n v="32400"/>
    <n v="28880.89"/>
    <n v="3519.1100000000006"/>
    <x v="87"/>
    <x v="1"/>
    <x v="2"/>
    <s v="Debit Card"/>
  </r>
  <r>
    <s v="ORD0089"/>
    <x v="80"/>
    <s v="C1011"/>
    <s v="Karthik S"/>
    <x v="2"/>
    <s v="Electronics"/>
    <x v="1"/>
    <s v="Corporate"/>
    <n v="4"/>
    <n v="11200"/>
    <n v="9530.81"/>
    <n v="1669.1900000000005"/>
    <x v="88"/>
    <x v="3"/>
    <x v="0"/>
    <s v="Credit Card"/>
  </r>
  <r>
    <s v="ORD0090"/>
    <x v="41"/>
    <s v="C1016"/>
    <s v="Karthik S"/>
    <x v="9"/>
    <s v="Electronics"/>
    <x v="1"/>
    <s v="Small Business"/>
    <n v="4"/>
    <n v="112000"/>
    <n v="71221.649999999994"/>
    <n v="40778.350000000006"/>
    <x v="89"/>
    <x v="4"/>
    <x v="1"/>
    <s v="Credit Card"/>
  </r>
  <r>
    <s v="ORD0091"/>
    <x v="81"/>
    <s v="C1011"/>
    <s v="Priya S"/>
    <x v="0"/>
    <s v="Electronics"/>
    <x v="1"/>
    <s v="Consumer"/>
    <n v="2"/>
    <n v="104000"/>
    <n v="105383.91"/>
    <n v="-1383.9100000000035"/>
    <x v="90"/>
    <x v="3"/>
    <x v="0"/>
    <s v="Net Banking"/>
  </r>
  <r>
    <s v="ORD0092"/>
    <x v="20"/>
    <s v="C1003"/>
    <s v="Sneha T"/>
    <x v="2"/>
    <s v="Electronics"/>
    <x v="2"/>
    <s v="Corporate"/>
    <n v="4"/>
    <n v="10500"/>
    <n v="11366.44"/>
    <n v="-866.44000000000051"/>
    <x v="91"/>
    <x v="2"/>
    <x v="0"/>
    <s v="Net Banking"/>
  </r>
  <r>
    <s v="ORD0093"/>
    <x v="82"/>
    <s v="C1021"/>
    <s v="Sneha T"/>
    <x v="3"/>
    <s v="Furniture"/>
    <x v="0"/>
    <s v="Small Business"/>
    <n v="5"/>
    <n v="51000"/>
    <n v="48457.06"/>
    <n v="2542.9400000000023"/>
    <x v="92"/>
    <x v="5"/>
    <x v="0"/>
    <s v="Credit Card"/>
  </r>
  <r>
    <s v="ORD0094"/>
    <x v="83"/>
    <s v="C1025"/>
    <s v="Priya S"/>
    <x v="9"/>
    <s v="Electronics"/>
    <x v="1"/>
    <s v="Consumer"/>
    <n v="1"/>
    <n v="23800"/>
    <n v="22796.23"/>
    <n v="1003.7700000000004"/>
    <x v="93"/>
    <x v="5"/>
    <x v="1"/>
    <s v="Debit Card"/>
  </r>
  <r>
    <s v="ORD0095"/>
    <x v="84"/>
    <s v="C1012"/>
    <s v="Karthik S"/>
    <x v="0"/>
    <s v="Electronics"/>
    <x v="3"/>
    <s v="Consumer"/>
    <n v="3"/>
    <n v="195000"/>
    <n v="122695.81"/>
    <n v="72304.19"/>
    <x v="94"/>
    <x v="4"/>
    <x v="0"/>
    <s v="Net Banking"/>
  </r>
  <r>
    <s v="ORD0096"/>
    <x v="85"/>
    <s v="C1013"/>
    <s v="Anita R"/>
    <x v="2"/>
    <s v="Electronics"/>
    <x v="1"/>
    <s v="Small Business"/>
    <n v="2"/>
    <n v="7000"/>
    <n v="5001.9399999999996"/>
    <n v="1998.0600000000004"/>
    <x v="95"/>
    <x v="4"/>
    <x v="0"/>
    <s v="Credit Card"/>
  </r>
  <r>
    <s v="ORD0097"/>
    <x v="50"/>
    <s v="C1029"/>
    <s v="Sneha T"/>
    <x v="5"/>
    <s v="Furniture"/>
    <x v="2"/>
    <s v="Small Business"/>
    <n v="4"/>
    <n v="32400"/>
    <n v="26281.69"/>
    <n v="6118.3100000000013"/>
    <x v="96"/>
    <x v="1"/>
    <x v="0"/>
    <s v="Credit Card"/>
  </r>
  <r>
    <s v="ORD0098"/>
    <x v="86"/>
    <s v="C1014"/>
    <s v="Vijay K"/>
    <x v="6"/>
    <s v="Footwear"/>
    <x v="1"/>
    <s v="Corporate"/>
    <n v="3"/>
    <n v="10800"/>
    <n v="8515.42"/>
    <n v="2284.58"/>
    <x v="97"/>
    <x v="3"/>
    <x v="0"/>
    <s v="Net Banking"/>
  </r>
  <r>
    <s v="ORD0099"/>
    <x v="56"/>
    <s v="C1019"/>
    <s v="Vijay K"/>
    <x v="1"/>
    <s v="Electronics"/>
    <x v="2"/>
    <s v="Consumer"/>
    <n v="2"/>
    <n v="2040"/>
    <n v="1690.61"/>
    <n v="349.3900000000001"/>
    <x v="98"/>
    <x v="5"/>
    <x v="1"/>
    <s v="Net Banking"/>
  </r>
  <r>
    <s v="ORD0100"/>
    <x v="87"/>
    <s v="C1002"/>
    <s v="Sneha T"/>
    <x v="0"/>
    <s v="Electronics"/>
    <x v="2"/>
    <s v="Consumer"/>
    <n v="5"/>
    <n v="243750"/>
    <n v="247046.84"/>
    <n v="-3296.8399999999965"/>
    <x v="99"/>
    <x v="2"/>
    <x v="0"/>
    <s v="Debit 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9E1A81-F270-4236-A86D-4B374191B6CE}" name="Monthly sales and profit analysis"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D14" firstHeaderRow="0" firstDataRow="1" firstDataCol="1"/>
  <pivotFields count="17">
    <pivotField dataField="1"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pivotField dataField="1" showAll="0"/>
    <pivotField numFmtId="9" showAll="0">
      <items count="101">
        <item x="91"/>
        <item x="32"/>
        <item x="5"/>
        <item x="99"/>
        <item x="90"/>
        <item x="42"/>
        <item x="44"/>
        <item x="40"/>
        <item x="93"/>
        <item x="34"/>
        <item x="92"/>
        <item x="75"/>
        <item x="62"/>
        <item x="59"/>
        <item x="14"/>
        <item x="65"/>
        <item x="6"/>
        <item x="29"/>
        <item x="12"/>
        <item x="48"/>
        <item x="84"/>
        <item x="35"/>
        <item x="8"/>
        <item x="43"/>
        <item x="87"/>
        <item x="30"/>
        <item x="50"/>
        <item x="19"/>
        <item x="64"/>
        <item x="63"/>
        <item x="78"/>
        <item x="25"/>
        <item x="3"/>
        <item x="79"/>
        <item x="49"/>
        <item x="88"/>
        <item x="76"/>
        <item x="15"/>
        <item x="28"/>
        <item x="98"/>
        <item x="67"/>
        <item x="66"/>
        <item x="57"/>
        <item x="96"/>
        <item x="74"/>
        <item x="53"/>
        <item x="13"/>
        <item x="68"/>
        <item x="54"/>
        <item x="41"/>
        <item x="97"/>
        <item x="70"/>
        <item x="47"/>
        <item x="81"/>
        <item x="60"/>
        <item x="26"/>
        <item x="7"/>
        <item x="31"/>
        <item x="4"/>
        <item x="51"/>
        <item x="23"/>
        <item x="20"/>
        <item x="11"/>
        <item x="73"/>
        <item x="22"/>
        <item x="39"/>
        <item x="83"/>
        <item x="55"/>
        <item x="27"/>
        <item x="1"/>
        <item x="33"/>
        <item x="95"/>
        <item x="86"/>
        <item x="18"/>
        <item x="37"/>
        <item x="2"/>
        <item x="21"/>
        <item x="71"/>
        <item x="69"/>
        <item x="56"/>
        <item x="9"/>
        <item x="82"/>
        <item x="85"/>
        <item x="61"/>
        <item x="80"/>
        <item x="38"/>
        <item x="58"/>
        <item x="10"/>
        <item x="52"/>
        <item x="0"/>
        <item x="72"/>
        <item x="89"/>
        <item x="36"/>
        <item x="17"/>
        <item x="94"/>
        <item x="46"/>
        <item x="16"/>
        <item x="24"/>
        <item x="77"/>
        <item x="45"/>
        <item t="default"/>
      </items>
    </pivotField>
    <pivotField showAll="0"/>
    <pivotField showAll="0"/>
    <pivotField showAll="0"/>
    <pivotField axis="axisRow" showAll="0">
      <items count="4">
        <item x="0"/>
        <item x="1"/>
        <item x="2"/>
        <item t="default"/>
      </items>
    </pivotField>
  </pivotFields>
  <rowFields count="2">
    <field x="16"/>
    <field x="1"/>
  </rowFields>
  <rowItems count="11">
    <i>
      <x v="1"/>
    </i>
    <i r="1">
      <x v="1"/>
    </i>
    <i r="1">
      <x v="2"/>
    </i>
    <i r="1">
      <x v="3"/>
    </i>
    <i r="1">
      <x v="4"/>
    </i>
    <i r="1">
      <x v="5"/>
    </i>
    <i r="1">
      <x v="6"/>
    </i>
    <i r="1">
      <x v="7"/>
    </i>
    <i r="1">
      <x v="8"/>
    </i>
    <i r="1">
      <x v="9"/>
    </i>
    <i t="grand">
      <x/>
    </i>
  </rowItems>
  <colFields count="1">
    <field x="-2"/>
  </colFields>
  <colItems count="3">
    <i>
      <x/>
    </i>
    <i i="1">
      <x v="1"/>
    </i>
    <i i="2">
      <x v="2"/>
    </i>
  </colItems>
  <dataFields count="3">
    <dataField name="Total Sales" fld="9" baseField="16" baseItem="1"/>
    <dataField name="Total profit" fld="11" baseField="0" baseItem="0" numFmtId="10"/>
    <dataField name="Total orders Count  " fld="0" subtotal="count" baseField="16" baseItem="1"/>
  </dataFields>
  <conditionalFormats count="2">
    <conditionalFormat type="all" priority="2">
      <pivotAreas count="1">
        <pivotArea type="data" collapsedLevelsAreSubtotals="1" fieldPosition="0">
          <references count="3">
            <reference field="4294967294" count="1" selected="0">
              <x v="1"/>
            </reference>
            <reference field="1" count="9">
              <x v="1"/>
              <x v="2"/>
              <x v="3"/>
              <x v="4"/>
              <x v="5"/>
              <x v="6"/>
              <x v="7"/>
              <x v="8"/>
              <x v="9"/>
            </reference>
            <reference field="16" count="1" selected="0">
              <x v="1"/>
            </reference>
          </references>
        </pivotArea>
      </pivotAreas>
    </conditionalFormat>
    <conditionalFormat type="all" priority="3">
      <pivotAreas count="1">
        <pivotArea type="data" collapsedLevelsAreSubtotals="1" fieldPosition="0">
          <references count="3">
            <reference field="4294967294" count="1" selected="0">
              <x v="0"/>
            </reference>
            <reference field="1" count="9">
              <x v="1"/>
              <x v="2"/>
              <x v="3"/>
              <x v="4"/>
              <x v="5"/>
              <x v="6"/>
              <x v="7"/>
              <x v="8"/>
              <x v="9"/>
            </reference>
            <reference field="16" count="1" selected="0">
              <x v="1"/>
            </reference>
          </references>
        </pivotArea>
      </pivotAreas>
    </conditionalFormat>
  </conditionalFormat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D8A3E2-845A-48A7-913B-C05A910AB563}"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4" firstHeaderRow="0" firstDataRow="1" firstDataCol="1"/>
  <pivotFields count="17">
    <pivotField dataField="1" showAll="0"/>
    <pivotField numFmtId="14" showAll="0"/>
    <pivotField showAll="0"/>
    <pivotField showAll="0"/>
    <pivotField axis="axisRow" showAll="0">
      <items count="11">
        <item x="7"/>
        <item x="8"/>
        <item x="3"/>
        <item x="2"/>
        <item x="4"/>
        <item x="0"/>
        <item x="5"/>
        <item x="6"/>
        <item x="9"/>
        <item x="1"/>
        <item t="default"/>
      </items>
    </pivotField>
    <pivotField showAll="0"/>
    <pivotField showAll="0"/>
    <pivotField showAll="0"/>
    <pivotField showAll="0"/>
    <pivotField dataField="1" showAll="0"/>
    <pivotField dataField="1" showAll="0"/>
    <pivotField dataField="1" showAll="0"/>
    <pivotField numFmtId="9" showAll="0"/>
    <pivotField showAll="0"/>
    <pivotField showAll="0"/>
    <pivotField showAll="0"/>
    <pivotField showAll="0" defaultSubtotal="0"/>
  </pivotFields>
  <rowFields count="1">
    <field x="4"/>
  </rowFields>
  <rowItems count="11">
    <i>
      <x/>
    </i>
    <i>
      <x v="1"/>
    </i>
    <i>
      <x v="2"/>
    </i>
    <i>
      <x v="3"/>
    </i>
    <i>
      <x v="4"/>
    </i>
    <i>
      <x v="5"/>
    </i>
    <i>
      <x v="6"/>
    </i>
    <i>
      <x v="7"/>
    </i>
    <i>
      <x v="8"/>
    </i>
    <i>
      <x v="9"/>
    </i>
    <i t="grand">
      <x/>
    </i>
  </rowItems>
  <colFields count="1">
    <field x="-2"/>
  </colFields>
  <colItems count="4">
    <i>
      <x/>
    </i>
    <i i="1">
      <x v="1"/>
    </i>
    <i i="2">
      <x v="2"/>
    </i>
    <i i="3">
      <x v="3"/>
    </i>
  </colItems>
  <dataFields count="4">
    <dataField name="Sum of Sales_Amount" fld="9" baseField="0" baseItem="0"/>
    <dataField name="Sum of Cost" fld="10" baseField="0" baseItem="0"/>
    <dataField name="Sum of profit" fld="11" baseField="0" baseItem="0"/>
    <dataField name="Count of Order_ID" fld="0" subtotal="count" baseField="0" baseItem="0"/>
  </dataFields>
  <conditionalFormats count="2">
    <conditionalFormat type="all" priority="2">
      <pivotAreas count="1">
        <pivotArea type="data" collapsedLevelsAreSubtotals="1" fieldPosition="0">
          <references count="2">
            <reference field="4294967294" count="1" selected="0">
              <x v="2"/>
            </reference>
            <reference field="4" count="10">
              <x v="0"/>
              <x v="1"/>
              <x v="2"/>
              <x v="3"/>
              <x v="4"/>
              <x v="5"/>
              <x v="6"/>
              <x v="7"/>
              <x v="8"/>
              <x v="9"/>
            </reference>
          </references>
        </pivotArea>
      </pivotAreas>
    </conditionalFormat>
    <conditionalFormat type="all" priority="3">
      <pivotAreas count="1">
        <pivotArea type="data" collapsedLevelsAreSubtotals="1" fieldPosition="0">
          <references count="2">
            <reference field="4294967294" count="1" selected="0">
              <x v="2"/>
            </reference>
            <reference field="4" count="10">
              <x v="0"/>
              <x v="1"/>
              <x v="2"/>
              <x v="3"/>
              <x v="4"/>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529954-AEBD-4A65-A051-1817428B5998}"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D11" firstHeaderRow="0" firstDataRow="1" firstDataCol="1"/>
  <pivotFields count="17">
    <pivotField dataField="1" showAll="0"/>
    <pivotField numFmtId="14" showAll="0"/>
    <pivotField showAll="0"/>
    <pivotField showAll="0"/>
    <pivotField showAll="0">
      <items count="11">
        <item x="7"/>
        <item x="8"/>
        <item x="3"/>
        <item x="2"/>
        <item x="4"/>
        <item x="0"/>
        <item x="5"/>
        <item x="6"/>
        <item x="9"/>
        <item x="1"/>
        <item t="default"/>
      </items>
    </pivotField>
    <pivotField showAll="0"/>
    <pivotField showAll="0">
      <items count="5">
        <item x="2"/>
        <item x="0"/>
        <item x="3"/>
        <item x="1"/>
        <item t="default"/>
      </items>
    </pivotField>
    <pivotField showAll="0"/>
    <pivotField showAll="0"/>
    <pivotField dataField="1" showAll="0"/>
    <pivotField showAll="0"/>
    <pivotField dataField="1" showAll="0"/>
    <pivotField numFmtId="9" showAll="0"/>
    <pivotField axis="axisRow" numFmtId="10" showAll="0" defaultSubtotal="0">
      <items count="7">
        <item x="4"/>
        <item x="0"/>
        <item x="1"/>
        <item x="5"/>
        <item x="3"/>
        <item x="2"/>
        <item x="6"/>
      </items>
    </pivotField>
    <pivotField showAll="0">
      <items count="4">
        <item x="1"/>
        <item x="0"/>
        <item x="2"/>
        <item t="default"/>
      </items>
    </pivotField>
    <pivotField showAll="0"/>
    <pivotField showAll="0" defaultSubtotal="0"/>
  </pivotFields>
  <rowFields count="1">
    <field x="13"/>
  </rowFields>
  <rowItems count="8">
    <i>
      <x/>
    </i>
    <i>
      <x v="1"/>
    </i>
    <i>
      <x v="2"/>
    </i>
    <i>
      <x v="3"/>
    </i>
    <i>
      <x v="4"/>
    </i>
    <i>
      <x v="5"/>
    </i>
    <i>
      <x v="6"/>
    </i>
    <i t="grand">
      <x/>
    </i>
  </rowItems>
  <colFields count="1">
    <field x="-2"/>
  </colFields>
  <colItems count="3">
    <i>
      <x/>
    </i>
    <i i="1">
      <x v="1"/>
    </i>
    <i i="2">
      <x v="2"/>
    </i>
  </colItems>
  <dataFields count="3">
    <dataField name="Sum of Sales_Amount" fld="9" baseField="0" baseItem="0"/>
    <dataField name="Sum of profit" fld="11" baseField="0" baseItem="0"/>
    <dataField name="Count of Order_ID" fld="0" subtotal="count" baseField="0" baseItem="0"/>
  </dataFields>
  <chartFormats count="3">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6C274D-4FFF-4E0F-8DC1-FB8BBEE4E3BC}"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D8" firstHeaderRow="0" firstDataRow="1" firstDataCol="1"/>
  <pivotFields count="17">
    <pivotField dataField="1" showAll="0"/>
    <pivotField numFmtId="14" showAll="0"/>
    <pivotField showAll="0"/>
    <pivotField showAll="0"/>
    <pivotField showAll="0"/>
    <pivotField showAll="0"/>
    <pivotField axis="axisRow" showAll="0">
      <items count="5">
        <item x="2"/>
        <item x="0"/>
        <item x="3"/>
        <item x="1"/>
        <item t="default"/>
      </items>
    </pivotField>
    <pivotField showAll="0"/>
    <pivotField showAll="0"/>
    <pivotField dataField="1" showAll="0"/>
    <pivotField showAll="0"/>
    <pivotField dataField="1" showAll="0"/>
    <pivotField numFmtId="9" showAll="0"/>
    <pivotField showAll="0"/>
    <pivotField showAll="0"/>
    <pivotField showAll="0"/>
    <pivotField showAll="0" defaultSubtotal="0"/>
  </pivotFields>
  <rowFields count="1">
    <field x="6"/>
  </rowFields>
  <rowItems count="5">
    <i>
      <x/>
    </i>
    <i>
      <x v="1"/>
    </i>
    <i>
      <x v="2"/>
    </i>
    <i>
      <x v="3"/>
    </i>
    <i t="grand">
      <x/>
    </i>
  </rowItems>
  <colFields count="1">
    <field x="-2"/>
  </colFields>
  <colItems count="3">
    <i>
      <x/>
    </i>
    <i i="1">
      <x v="1"/>
    </i>
    <i i="2">
      <x v="2"/>
    </i>
  </colItems>
  <dataFields count="3">
    <dataField name="Sum of Sales_Amount" fld="9" baseField="0" baseItem="0"/>
    <dataField name="Sum of profit" fld="11" baseField="0" baseItem="0"/>
    <dataField name="Count of Order_ID" fld="0" subtotal="count" baseField="0" baseItem="0"/>
  </dataFields>
  <formats count="4">
    <format dxfId="12">
      <pivotArea collapsedLevelsAreSubtotals="1" fieldPosition="0">
        <references count="2">
          <reference field="4294967294" count="1" selected="0">
            <x v="1"/>
          </reference>
          <reference field="6" count="0"/>
        </references>
      </pivotArea>
    </format>
    <format dxfId="11">
      <pivotArea collapsedLevelsAreSubtotals="1" fieldPosition="0">
        <references count="2">
          <reference field="4294967294" count="1" selected="0">
            <x v="0"/>
          </reference>
          <reference field="6" count="0"/>
        </references>
      </pivotArea>
    </format>
    <format dxfId="10">
      <pivotArea field="6" grandRow="1" outline="0" collapsedLevelsAreSubtotals="1" axis="axisRow" fieldPosition="0">
        <references count="1">
          <reference field="4294967294" count="1" selected="0">
            <x v="0"/>
          </reference>
        </references>
      </pivotArea>
    </format>
    <format dxfId="9">
      <pivotArea field="6" grandRow="1" outline="0" collapsedLevelsAreSubtotals="1" axis="axisRow" fieldPosition="0">
        <references count="1">
          <reference field="4294967294" count="1" selected="0">
            <x v="1"/>
          </reference>
        </references>
      </pivotArea>
    </format>
  </formats>
  <chartFormats count="3">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1B4C95-C11E-40AE-A4C1-3F10FBB28738}"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4" firstHeaderRow="1" firstDataRow="1" firstDataCol="1"/>
  <pivotFields count="17">
    <pivotField showAll="0"/>
    <pivotField numFmtId="14" showAll="0"/>
    <pivotField showAll="0"/>
    <pivotField showAll="0"/>
    <pivotField axis="axisRow" showAll="0">
      <items count="11">
        <item x="7"/>
        <item x="8"/>
        <item x="3"/>
        <item x="2"/>
        <item x="4"/>
        <item x="0"/>
        <item x="5"/>
        <item x="6"/>
        <item x="9"/>
        <item x="1"/>
        <item t="default"/>
      </items>
    </pivotField>
    <pivotField showAll="0"/>
    <pivotField showAll="0"/>
    <pivotField showAll="0"/>
    <pivotField showAll="0"/>
    <pivotField showAll="0"/>
    <pivotField showAll="0"/>
    <pivotField dataField="1" showAll="0"/>
    <pivotField numFmtId="9" showAll="0"/>
    <pivotField showAll="0"/>
    <pivotField showAll="0"/>
    <pivotField showAll="0"/>
    <pivotField showAll="0" defaultSubtotal="0"/>
  </pivotFields>
  <rowFields count="1">
    <field x="4"/>
  </rowFields>
  <rowItems count="11">
    <i>
      <x/>
    </i>
    <i>
      <x v="1"/>
    </i>
    <i>
      <x v="2"/>
    </i>
    <i>
      <x v="3"/>
    </i>
    <i>
      <x v="4"/>
    </i>
    <i>
      <x v="5"/>
    </i>
    <i>
      <x v="6"/>
    </i>
    <i>
      <x v="7"/>
    </i>
    <i>
      <x v="8"/>
    </i>
    <i>
      <x v="9"/>
    </i>
    <i t="grand">
      <x/>
    </i>
  </rowItems>
  <colItems count="1">
    <i/>
  </colItems>
  <dataFields count="1">
    <dataField name="Sum of profit" fld="11"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6C64E02-4533-4FC3-9218-9A892C2D50C4}" sourceName="Product">
  <pivotTables>
    <pivotTable tabId="10" name="PivotTable6"/>
  </pivotTables>
  <data>
    <tabular pivotCacheId="1488638608">
      <items count="10">
        <i x="7" s="1"/>
        <i x="8" s="1"/>
        <i x="3" s="1"/>
        <i x="2" s="1"/>
        <i x="4" s="1"/>
        <i x="0" s="1"/>
        <i x="5" s="1"/>
        <i x="6" s="1"/>
        <i x="9"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7765CE6-7D13-401D-98E3-03D2F84FE9CD}" sourceName="Region">
  <pivotTables>
    <pivotTable tabId="10" name="PivotTable6"/>
  </pivotTables>
  <data>
    <tabular pivotCacheId="1488638608">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F25C40C0-1DF7-4B01-9178-66AA2F9B8516}" sourceName="Order_Status">
  <pivotTables>
    <pivotTable tabId="10" name="PivotTable6"/>
  </pivotTables>
  <data>
    <tabular pivotCacheId="148863860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0B3C32F-7D5E-42F9-9D55-F87FDEACF949}" cache="Slicer_Product" caption="Product" rowHeight="234950"/>
  <slicer name="Region" xr10:uid="{A6D92B1B-F207-42A3-AA92-A5C8EBF77D96}" cache="Slicer_Region" caption="Region" rowHeight="234950"/>
  <slicer name="Order_Status" xr10:uid="{492953C8-01E6-45D2-AFD5-FE9A03F7EA9A}" cache="Slicer_Order_Status" caption="Order_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2F162-D474-44EC-B9CC-EFDE9EECA2F4}">
  <dimension ref="B2:P12"/>
  <sheetViews>
    <sheetView showGridLines="0" tabSelected="1" workbookViewId="0">
      <selection activeCell="O5" sqref="O5"/>
    </sheetView>
  </sheetViews>
  <sheetFormatPr defaultRowHeight="14.4" x14ac:dyDescent="0.3"/>
  <cols>
    <col min="1" max="1" width="8.88671875" customWidth="1"/>
    <col min="2" max="2" width="36.21875" customWidth="1"/>
    <col min="4" max="4" width="10.6640625" customWidth="1"/>
    <col min="5" max="5" width="16.6640625" customWidth="1"/>
    <col min="8" max="8" width="12.21875" customWidth="1"/>
    <col min="11" max="11" width="15.88671875" customWidth="1"/>
  </cols>
  <sheetData>
    <row r="2" spans="2:16" x14ac:dyDescent="0.3">
      <c r="B2" s="24" t="s">
        <v>312</v>
      </c>
      <c r="C2" s="24"/>
      <c r="D2" s="24"/>
      <c r="E2" s="24"/>
      <c r="F2" s="24"/>
      <c r="G2" s="24"/>
      <c r="H2" s="24"/>
      <c r="I2" s="24"/>
      <c r="J2" s="24"/>
      <c r="K2" s="24"/>
    </row>
    <row r="3" spans="2:16" x14ac:dyDescent="0.3">
      <c r="B3" s="24"/>
      <c r="C3" s="24"/>
      <c r="D3" s="24"/>
      <c r="E3" s="24"/>
      <c r="F3" s="24"/>
      <c r="G3" s="24"/>
      <c r="H3" s="24"/>
      <c r="I3" s="24"/>
      <c r="J3" s="24"/>
      <c r="K3" s="24"/>
    </row>
    <row r="4" spans="2:16" x14ac:dyDescent="0.3">
      <c r="B4" s="33" t="s">
        <v>313</v>
      </c>
      <c r="E4" s="20" t="s">
        <v>314</v>
      </c>
      <c r="H4" s="21" t="s">
        <v>315</v>
      </c>
      <c r="I4" s="21"/>
      <c r="K4" s="21" t="s">
        <v>316</v>
      </c>
      <c r="L4" s="21"/>
    </row>
    <row r="5" spans="2:16" x14ac:dyDescent="0.3">
      <c r="B5" s="32">
        <f>SUMIFS(cleaned_data!J:J,cleaned_data!O:O,"Completed")</f>
        <v>2790495</v>
      </c>
      <c r="C5" s="20"/>
      <c r="D5" s="20"/>
      <c r="F5" s="20"/>
      <c r="G5" s="20"/>
      <c r="I5" s="20"/>
      <c r="J5" s="20"/>
    </row>
    <row r="6" spans="2:16" x14ac:dyDescent="0.3">
      <c r="B6" s="32"/>
      <c r="N6" s="25"/>
      <c r="O6" s="25"/>
      <c r="P6" s="25"/>
    </row>
    <row r="7" spans="2:16" ht="18" x14ac:dyDescent="0.35">
      <c r="B7" s="32"/>
      <c r="E7" s="29">
        <f>SUMIFS(cleaned_data!L:L,cleaned_data!O:O,"Completed")</f>
        <v>643641.23999999976</v>
      </c>
      <c r="H7" s="30">
        <f>IFERROR(E7/B5,0)</f>
        <v>0.23065486230937512</v>
      </c>
      <c r="I7" s="27"/>
      <c r="K7" s="31">
        <f>COUNTIFS(cleaned_data!O:O,"Completed",cleaned_data!A:A,"&lt;&gt;")</f>
        <v>80</v>
      </c>
      <c r="L7" s="31"/>
      <c r="N7" s="25"/>
      <c r="O7" s="25"/>
      <c r="P7" s="25"/>
    </row>
    <row r="8" spans="2:16" x14ac:dyDescent="0.3">
      <c r="C8" s="26"/>
      <c r="N8" s="25"/>
      <c r="O8" s="25"/>
      <c r="P8" s="25"/>
    </row>
    <row r="11" spans="2:16" x14ac:dyDescent="0.3">
      <c r="I11" s="28"/>
      <c r="J11" s="28"/>
    </row>
    <row r="12" spans="2:16" x14ac:dyDescent="0.3">
      <c r="I12" s="28"/>
      <c r="J12" s="28"/>
    </row>
  </sheetData>
  <mergeCells count="8">
    <mergeCell ref="K4:L4"/>
    <mergeCell ref="B2:K3"/>
    <mergeCell ref="B5:B7"/>
    <mergeCell ref="N6:N8"/>
    <mergeCell ref="O6:O8"/>
    <mergeCell ref="P6:P8"/>
    <mergeCell ref="H4:I4"/>
    <mergeCell ref="K7:L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3"/>
  <sheetViews>
    <sheetView workbookViewId="0">
      <selection activeCell="R13" sqref="R13"/>
    </sheetView>
  </sheetViews>
  <sheetFormatPr defaultRowHeight="14.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t="s">
        <v>16</v>
      </c>
      <c r="D2" t="s">
        <v>17</v>
      </c>
      <c r="E2" t="s">
        <v>18</v>
      </c>
      <c r="F2" t="s">
        <v>19</v>
      </c>
      <c r="G2" t="s">
        <v>20</v>
      </c>
      <c r="H2" t="s">
        <v>21</v>
      </c>
      <c r="I2">
        <v>3</v>
      </c>
      <c r="J2">
        <v>185250</v>
      </c>
      <c r="K2">
        <v>119002.05</v>
      </c>
      <c r="L2">
        <v>0.05</v>
      </c>
      <c r="M2" t="s">
        <v>22</v>
      </c>
      <c r="N2" t="s">
        <v>23</v>
      </c>
    </row>
    <row r="3" spans="1:14" x14ac:dyDescent="0.3">
      <c r="A3" t="s">
        <v>24</v>
      </c>
      <c r="B3" t="s">
        <v>25</v>
      </c>
      <c r="C3" t="s">
        <v>26</v>
      </c>
      <c r="D3" t="s">
        <v>27</v>
      </c>
      <c r="E3" t="s">
        <v>28</v>
      </c>
      <c r="F3" t="s">
        <v>19</v>
      </c>
      <c r="G3" t="s">
        <v>29</v>
      </c>
      <c r="H3" t="s">
        <v>30</v>
      </c>
      <c r="I3">
        <v>2</v>
      </c>
      <c r="J3">
        <v>2280</v>
      </c>
      <c r="K3">
        <v>1647.47</v>
      </c>
      <c r="L3">
        <v>0.05</v>
      </c>
      <c r="M3" t="s">
        <v>22</v>
      </c>
      <c r="N3" t="s">
        <v>31</v>
      </c>
    </row>
    <row r="4" spans="1:14" x14ac:dyDescent="0.3">
      <c r="A4" t="s">
        <v>32</v>
      </c>
      <c r="B4" t="s">
        <v>33</v>
      </c>
      <c r="C4" t="s">
        <v>34</v>
      </c>
      <c r="D4" t="s">
        <v>35</v>
      </c>
      <c r="E4" t="s">
        <v>36</v>
      </c>
      <c r="F4" t="s">
        <v>19</v>
      </c>
      <c r="G4" t="s">
        <v>20</v>
      </c>
      <c r="H4" t="s">
        <v>30</v>
      </c>
      <c r="I4">
        <v>4</v>
      </c>
      <c r="J4">
        <v>12600</v>
      </c>
      <c r="K4">
        <v>8750.35</v>
      </c>
      <c r="L4">
        <v>0.1</v>
      </c>
      <c r="M4" t="s">
        <v>22</v>
      </c>
      <c r="N4" t="s">
        <v>23</v>
      </c>
    </row>
    <row r="5" spans="1:14" x14ac:dyDescent="0.3">
      <c r="A5" t="s">
        <v>37</v>
      </c>
      <c r="B5" t="s">
        <v>38</v>
      </c>
      <c r="C5" t="s">
        <v>16</v>
      </c>
      <c r="D5" t="s">
        <v>39</v>
      </c>
      <c r="E5" t="s">
        <v>40</v>
      </c>
      <c r="F5" t="s">
        <v>41</v>
      </c>
      <c r="G5" t="s">
        <v>20</v>
      </c>
      <c r="H5" t="s">
        <v>42</v>
      </c>
      <c r="I5">
        <v>5</v>
      </c>
      <c r="J5">
        <v>54000</v>
      </c>
      <c r="K5">
        <v>46075.48</v>
      </c>
      <c r="L5">
        <v>0.1</v>
      </c>
      <c r="M5" t="s">
        <v>22</v>
      </c>
      <c r="N5" t="s">
        <v>31</v>
      </c>
    </row>
    <row r="6" spans="1:14" x14ac:dyDescent="0.3">
      <c r="A6" t="s">
        <v>43</v>
      </c>
      <c r="B6" t="s">
        <v>44</v>
      </c>
      <c r="C6" t="s">
        <v>45</v>
      </c>
      <c r="D6" t="s">
        <v>27</v>
      </c>
      <c r="E6" t="s">
        <v>46</v>
      </c>
      <c r="F6" t="s">
        <v>47</v>
      </c>
      <c r="G6" t="s">
        <v>48</v>
      </c>
      <c r="H6" t="s">
        <v>30</v>
      </c>
      <c r="I6">
        <v>2</v>
      </c>
      <c r="J6">
        <v>3750</v>
      </c>
      <c r="K6">
        <v>2843.9</v>
      </c>
      <c r="L6">
        <v>0.25</v>
      </c>
      <c r="M6" t="s">
        <v>22</v>
      </c>
      <c r="N6" t="s">
        <v>23</v>
      </c>
    </row>
    <row r="7" spans="1:14" x14ac:dyDescent="0.3">
      <c r="A7" t="s">
        <v>49</v>
      </c>
      <c r="B7" t="s">
        <v>50</v>
      </c>
      <c r="C7" t="s">
        <v>51</v>
      </c>
      <c r="D7" t="s">
        <v>52</v>
      </c>
      <c r="E7" t="s">
        <v>53</v>
      </c>
      <c r="F7" t="s">
        <v>41</v>
      </c>
      <c r="G7" t="s">
        <v>48</v>
      </c>
      <c r="H7" t="s">
        <v>30</v>
      </c>
      <c r="I7">
        <v>4</v>
      </c>
      <c r="J7">
        <v>27000</v>
      </c>
      <c r="K7">
        <v>27907.55</v>
      </c>
      <c r="L7">
        <v>0.25</v>
      </c>
      <c r="M7" t="s">
        <v>54</v>
      </c>
      <c r="N7" t="s">
        <v>31</v>
      </c>
    </row>
    <row r="8" spans="1:14" x14ac:dyDescent="0.3">
      <c r="A8" t="s">
        <v>55</v>
      </c>
      <c r="B8" t="s">
        <v>56</v>
      </c>
      <c r="C8" t="s">
        <v>51</v>
      </c>
      <c r="D8" t="s">
        <v>39</v>
      </c>
      <c r="E8" t="s">
        <v>46</v>
      </c>
      <c r="F8" t="s">
        <v>47</v>
      </c>
      <c r="G8" t="s">
        <v>29</v>
      </c>
      <c r="H8" t="s">
        <v>42</v>
      </c>
      <c r="I8">
        <v>2</v>
      </c>
      <c r="J8">
        <v>4000</v>
      </c>
      <c r="K8">
        <v>3734.32</v>
      </c>
      <c r="L8">
        <v>0.2</v>
      </c>
      <c r="M8" t="s">
        <v>22</v>
      </c>
      <c r="N8" t="s">
        <v>57</v>
      </c>
    </row>
    <row r="9" spans="1:14" x14ac:dyDescent="0.3">
      <c r="A9" t="s">
        <v>58</v>
      </c>
      <c r="B9" t="s">
        <v>59</v>
      </c>
      <c r="C9" t="s">
        <v>60</v>
      </c>
      <c r="D9" t="s">
        <v>61</v>
      </c>
      <c r="E9" t="s">
        <v>18</v>
      </c>
      <c r="F9" t="s">
        <v>19</v>
      </c>
      <c r="G9" t="s">
        <v>20</v>
      </c>
      <c r="H9" t="s">
        <v>30</v>
      </c>
      <c r="I9">
        <v>2</v>
      </c>
      <c r="J9">
        <v>130000</v>
      </c>
      <c r="K9">
        <v>99757.11</v>
      </c>
      <c r="L9">
        <v>0</v>
      </c>
      <c r="M9" t="s">
        <v>22</v>
      </c>
      <c r="N9" t="s">
        <v>31</v>
      </c>
    </row>
    <row r="10" spans="1:14" x14ac:dyDescent="0.3">
      <c r="A10" t="s">
        <v>62</v>
      </c>
      <c r="B10" t="s">
        <v>63</v>
      </c>
      <c r="C10" t="s">
        <v>64</v>
      </c>
      <c r="D10" t="s">
        <v>65</v>
      </c>
      <c r="E10" t="s">
        <v>66</v>
      </c>
      <c r="F10" t="s">
        <v>67</v>
      </c>
      <c r="G10" t="s">
        <v>68</v>
      </c>
      <c r="H10" t="s">
        <v>21</v>
      </c>
      <c r="I10">
        <v>4</v>
      </c>
      <c r="J10">
        <v>13500</v>
      </c>
      <c r="K10">
        <v>12130.02</v>
      </c>
      <c r="L10">
        <v>0.25</v>
      </c>
      <c r="M10" t="s">
        <v>22</v>
      </c>
      <c r="N10" t="s">
        <v>31</v>
      </c>
    </row>
    <row r="11" spans="1:14" x14ac:dyDescent="0.3">
      <c r="A11" t="s">
        <v>69</v>
      </c>
      <c r="B11" t="s">
        <v>70</v>
      </c>
      <c r="C11" t="s">
        <v>71</v>
      </c>
      <c r="D11" t="s">
        <v>39</v>
      </c>
      <c r="E11" t="s">
        <v>46</v>
      </c>
      <c r="F11" t="s">
        <v>47</v>
      </c>
      <c r="G11" t="s">
        <v>20</v>
      </c>
      <c r="H11" t="s">
        <v>30</v>
      </c>
      <c r="I11">
        <v>4</v>
      </c>
      <c r="J11">
        <v>9000</v>
      </c>
      <c r="K11">
        <v>6092.17</v>
      </c>
      <c r="L11">
        <v>0.1</v>
      </c>
      <c r="M11" t="s">
        <v>22</v>
      </c>
      <c r="N11" t="s">
        <v>57</v>
      </c>
    </row>
    <row r="12" spans="1:14" x14ac:dyDescent="0.3">
      <c r="A12" t="s">
        <v>72</v>
      </c>
      <c r="B12" t="s">
        <v>73</v>
      </c>
      <c r="C12" t="s">
        <v>74</v>
      </c>
      <c r="D12" t="s">
        <v>39</v>
      </c>
      <c r="E12" t="s">
        <v>75</v>
      </c>
      <c r="F12" t="s">
        <v>76</v>
      </c>
      <c r="G12" t="s">
        <v>48</v>
      </c>
      <c r="H12" t="s">
        <v>21</v>
      </c>
      <c r="I12">
        <v>5</v>
      </c>
      <c r="J12">
        <v>11000</v>
      </c>
      <c r="K12">
        <v>7192.76</v>
      </c>
      <c r="L12">
        <v>0</v>
      </c>
      <c r="M12" t="s">
        <v>22</v>
      </c>
      <c r="N12" t="s">
        <v>23</v>
      </c>
    </row>
    <row r="13" spans="1:14" x14ac:dyDescent="0.3">
      <c r="A13" t="s">
        <v>77</v>
      </c>
      <c r="B13" t="s">
        <v>78</v>
      </c>
      <c r="C13" t="s">
        <v>79</v>
      </c>
      <c r="D13" t="s">
        <v>80</v>
      </c>
      <c r="E13" t="s">
        <v>40</v>
      </c>
      <c r="F13" t="s">
        <v>41</v>
      </c>
      <c r="G13" t="s">
        <v>48</v>
      </c>
      <c r="H13" t="s">
        <v>21</v>
      </c>
      <c r="I13">
        <v>1</v>
      </c>
      <c r="J13">
        <v>10800</v>
      </c>
      <c r="K13">
        <v>8008.64</v>
      </c>
      <c r="L13">
        <v>0.1</v>
      </c>
      <c r="M13" t="s">
        <v>81</v>
      </c>
      <c r="N13" t="s">
        <v>57</v>
      </c>
    </row>
    <row r="14" spans="1:14" x14ac:dyDescent="0.3">
      <c r="A14" t="s">
        <v>82</v>
      </c>
      <c r="B14" t="s">
        <v>83</v>
      </c>
      <c r="C14" t="s">
        <v>34</v>
      </c>
      <c r="D14" t="s">
        <v>65</v>
      </c>
      <c r="E14" t="s">
        <v>28</v>
      </c>
      <c r="F14" t="s">
        <v>84</v>
      </c>
      <c r="G14" t="s">
        <v>48</v>
      </c>
      <c r="H14" t="s">
        <v>30</v>
      </c>
      <c r="I14">
        <v>3</v>
      </c>
      <c r="J14">
        <v>2700</v>
      </c>
      <c r="K14">
        <v>2473.4499999999998</v>
      </c>
      <c r="L14">
        <v>0.25</v>
      </c>
      <c r="M14" t="s">
        <v>22</v>
      </c>
      <c r="N14" t="s">
        <v>23</v>
      </c>
    </row>
    <row r="15" spans="1:14" x14ac:dyDescent="0.3">
      <c r="A15" t="s">
        <v>85</v>
      </c>
      <c r="B15" t="s">
        <v>86</v>
      </c>
      <c r="C15" t="s">
        <v>87</v>
      </c>
      <c r="D15" t="s">
        <v>61</v>
      </c>
      <c r="E15" t="s">
        <v>66</v>
      </c>
      <c r="F15" t="s">
        <v>67</v>
      </c>
      <c r="G15" t="s">
        <v>68</v>
      </c>
      <c r="H15" t="s">
        <v>30</v>
      </c>
      <c r="I15">
        <v>1</v>
      </c>
      <c r="J15">
        <v>4500</v>
      </c>
      <c r="K15">
        <v>3603.85</v>
      </c>
      <c r="L15">
        <v>0</v>
      </c>
      <c r="M15" t="s">
        <v>22</v>
      </c>
      <c r="N15" t="s">
        <v>23</v>
      </c>
    </row>
    <row r="16" spans="1:14" x14ac:dyDescent="0.3">
      <c r="A16" t="s">
        <v>88</v>
      </c>
      <c r="B16" t="s">
        <v>89</v>
      </c>
      <c r="C16" t="s">
        <v>71</v>
      </c>
      <c r="D16" t="s">
        <v>39</v>
      </c>
      <c r="E16" t="s">
        <v>66</v>
      </c>
      <c r="F16" t="s">
        <v>67</v>
      </c>
      <c r="G16" t="s">
        <v>68</v>
      </c>
      <c r="H16" t="s">
        <v>42</v>
      </c>
      <c r="I16">
        <v>1</v>
      </c>
      <c r="J16">
        <v>3600</v>
      </c>
      <c r="K16">
        <v>3405.49</v>
      </c>
      <c r="L16">
        <v>0.2</v>
      </c>
      <c r="M16" t="s">
        <v>22</v>
      </c>
      <c r="N16" t="s">
        <v>90</v>
      </c>
    </row>
    <row r="17" spans="1:14" x14ac:dyDescent="0.3">
      <c r="A17" t="s">
        <v>91</v>
      </c>
      <c r="B17" t="s">
        <v>63</v>
      </c>
      <c r="C17" t="s">
        <v>45</v>
      </c>
      <c r="D17" t="s">
        <v>35</v>
      </c>
      <c r="E17" t="s">
        <v>92</v>
      </c>
      <c r="F17" t="s">
        <v>47</v>
      </c>
      <c r="G17" t="s">
        <v>29</v>
      </c>
      <c r="H17" t="s">
        <v>21</v>
      </c>
      <c r="I17">
        <v>2</v>
      </c>
      <c r="J17">
        <v>2700</v>
      </c>
      <c r="K17">
        <v>2282.9899999999998</v>
      </c>
      <c r="L17">
        <v>0.25</v>
      </c>
      <c r="M17" t="s">
        <v>22</v>
      </c>
      <c r="N17" t="s">
        <v>23</v>
      </c>
    </row>
    <row r="18" spans="1:14" x14ac:dyDescent="0.3">
      <c r="A18" t="s">
        <v>93</v>
      </c>
      <c r="B18" t="s">
        <v>94</v>
      </c>
      <c r="C18" t="s">
        <v>95</v>
      </c>
      <c r="D18" t="s">
        <v>27</v>
      </c>
      <c r="E18" t="s">
        <v>96</v>
      </c>
      <c r="F18" t="s">
        <v>19</v>
      </c>
      <c r="G18" t="s">
        <v>68</v>
      </c>
      <c r="H18" t="s">
        <v>30</v>
      </c>
      <c r="I18">
        <v>1</v>
      </c>
      <c r="J18">
        <v>25200</v>
      </c>
      <c r="K18">
        <v>15559.02</v>
      </c>
      <c r="L18">
        <v>0.1</v>
      </c>
      <c r="M18" t="s">
        <v>22</v>
      </c>
      <c r="N18" t="s">
        <v>23</v>
      </c>
    </row>
    <row r="19" spans="1:14" x14ac:dyDescent="0.3">
      <c r="A19" t="s">
        <v>97</v>
      </c>
      <c r="B19" t="s">
        <v>98</v>
      </c>
      <c r="C19" t="s">
        <v>99</v>
      </c>
      <c r="D19" t="s">
        <v>61</v>
      </c>
      <c r="E19" t="s">
        <v>28</v>
      </c>
      <c r="F19" t="s">
        <v>19</v>
      </c>
      <c r="G19" t="s">
        <v>29</v>
      </c>
      <c r="H19" t="s">
        <v>30</v>
      </c>
      <c r="I19">
        <v>1</v>
      </c>
      <c r="J19">
        <v>1080</v>
      </c>
      <c r="K19">
        <v>682.96</v>
      </c>
      <c r="L19">
        <v>0.1</v>
      </c>
      <c r="M19" t="s">
        <v>22</v>
      </c>
      <c r="N19" t="s">
        <v>57</v>
      </c>
    </row>
    <row r="20" spans="1:14" x14ac:dyDescent="0.3">
      <c r="A20" t="s">
        <v>100</v>
      </c>
      <c r="B20" t="s">
        <v>101</v>
      </c>
      <c r="C20" t="s">
        <v>102</v>
      </c>
      <c r="D20" t="s">
        <v>103</v>
      </c>
      <c r="E20" t="s">
        <v>96</v>
      </c>
      <c r="F20" t="s">
        <v>19</v>
      </c>
      <c r="G20" t="s">
        <v>48</v>
      </c>
      <c r="H20" t="s">
        <v>42</v>
      </c>
      <c r="I20">
        <v>4</v>
      </c>
      <c r="J20">
        <v>95200</v>
      </c>
      <c r="K20">
        <v>67358</v>
      </c>
      <c r="L20">
        <v>0.15</v>
      </c>
      <c r="M20" t="s">
        <v>22</v>
      </c>
      <c r="N20" t="s">
        <v>90</v>
      </c>
    </row>
    <row r="21" spans="1:14" x14ac:dyDescent="0.3">
      <c r="A21" t="s">
        <v>104</v>
      </c>
      <c r="B21" t="s">
        <v>105</v>
      </c>
      <c r="C21" t="s">
        <v>106</v>
      </c>
      <c r="D21" t="s">
        <v>17</v>
      </c>
      <c r="E21" t="s">
        <v>28</v>
      </c>
      <c r="F21" t="s">
        <v>19</v>
      </c>
      <c r="G21" t="s">
        <v>68</v>
      </c>
      <c r="H21" t="s">
        <v>30</v>
      </c>
      <c r="I21">
        <v>1</v>
      </c>
      <c r="J21">
        <v>1020</v>
      </c>
      <c r="K21">
        <v>895.94</v>
      </c>
      <c r="L21">
        <v>0.15</v>
      </c>
      <c r="M21" t="s">
        <v>22</v>
      </c>
      <c r="N21" t="s">
        <v>90</v>
      </c>
    </row>
    <row r="22" spans="1:14" x14ac:dyDescent="0.3">
      <c r="A22" t="s">
        <v>107</v>
      </c>
      <c r="B22" t="s">
        <v>108</v>
      </c>
      <c r="C22" t="s">
        <v>109</v>
      </c>
      <c r="D22" t="s">
        <v>17</v>
      </c>
      <c r="E22" t="s">
        <v>75</v>
      </c>
      <c r="F22" t="s">
        <v>110</v>
      </c>
      <c r="G22" t="s">
        <v>29</v>
      </c>
      <c r="H22" t="s">
        <v>21</v>
      </c>
      <c r="I22">
        <v>2</v>
      </c>
      <c r="J22">
        <v>3960</v>
      </c>
      <c r="K22">
        <v>2969.6</v>
      </c>
      <c r="L22">
        <v>0.1</v>
      </c>
      <c r="M22" t="s">
        <v>22</v>
      </c>
      <c r="N22" t="s">
        <v>23</v>
      </c>
    </row>
    <row r="23" spans="1:14" x14ac:dyDescent="0.3">
      <c r="A23" t="s">
        <v>111</v>
      </c>
      <c r="B23" t="s">
        <v>112</v>
      </c>
      <c r="C23" t="s">
        <v>113</v>
      </c>
      <c r="D23" t="s">
        <v>27</v>
      </c>
      <c r="E23" t="s">
        <v>28</v>
      </c>
      <c r="F23" t="s">
        <v>19</v>
      </c>
      <c r="G23" t="s">
        <v>29</v>
      </c>
      <c r="H23" t="s">
        <v>30</v>
      </c>
      <c r="I23">
        <v>2</v>
      </c>
      <c r="J23">
        <v>2280</v>
      </c>
      <c r="K23">
        <v>1583.36</v>
      </c>
      <c r="L23">
        <v>0.05</v>
      </c>
      <c r="M23" t="s">
        <v>22</v>
      </c>
      <c r="N23" t="s">
        <v>90</v>
      </c>
    </row>
    <row r="24" spans="1:14" x14ac:dyDescent="0.3">
      <c r="A24" t="s">
        <v>114</v>
      </c>
      <c r="B24" t="s">
        <v>115</v>
      </c>
      <c r="C24" t="s">
        <v>116</v>
      </c>
      <c r="D24" t="s">
        <v>39</v>
      </c>
      <c r="E24" t="s">
        <v>75</v>
      </c>
      <c r="F24" t="s">
        <v>76</v>
      </c>
      <c r="G24" t="s">
        <v>68</v>
      </c>
      <c r="H24" t="s">
        <v>30</v>
      </c>
      <c r="I24">
        <v>3</v>
      </c>
      <c r="J24">
        <v>5610</v>
      </c>
      <c r="K24">
        <v>4138.3100000000004</v>
      </c>
      <c r="L24">
        <v>0.15</v>
      </c>
      <c r="M24" t="s">
        <v>22</v>
      </c>
      <c r="N24" t="s">
        <v>57</v>
      </c>
    </row>
    <row r="25" spans="1:14" x14ac:dyDescent="0.3">
      <c r="A25" t="s">
        <v>117</v>
      </c>
      <c r="B25" t="s">
        <v>118</v>
      </c>
      <c r="C25" t="s">
        <v>119</v>
      </c>
      <c r="D25" t="s">
        <v>80</v>
      </c>
      <c r="E25" t="s">
        <v>46</v>
      </c>
      <c r="F25" t="s">
        <v>47</v>
      </c>
      <c r="G25" t="s">
        <v>29</v>
      </c>
      <c r="H25" t="s">
        <v>21</v>
      </c>
      <c r="I25">
        <v>5</v>
      </c>
      <c r="J25">
        <v>12500</v>
      </c>
      <c r="K25">
        <v>9399.42</v>
      </c>
      <c r="L25">
        <v>0</v>
      </c>
      <c r="M25" t="s">
        <v>22</v>
      </c>
      <c r="N25" t="s">
        <v>57</v>
      </c>
    </row>
    <row r="26" spans="1:14" x14ac:dyDescent="0.3">
      <c r="A26" t="s">
        <v>120</v>
      </c>
      <c r="B26" t="s">
        <v>118</v>
      </c>
      <c r="C26" t="s">
        <v>121</v>
      </c>
      <c r="D26" t="s">
        <v>27</v>
      </c>
      <c r="E26" t="s">
        <v>92</v>
      </c>
      <c r="F26" t="s">
        <v>47</v>
      </c>
      <c r="G26" t="s">
        <v>29</v>
      </c>
      <c r="H26" t="s">
        <v>30</v>
      </c>
      <c r="I26">
        <v>1</v>
      </c>
      <c r="J26">
        <v>1710</v>
      </c>
      <c r="K26">
        <v>1023.3</v>
      </c>
      <c r="L26">
        <v>0.05</v>
      </c>
      <c r="M26" t="s">
        <v>22</v>
      </c>
      <c r="N26" t="s">
        <v>57</v>
      </c>
    </row>
    <row r="27" spans="1:14" x14ac:dyDescent="0.3">
      <c r="A27" t="s">
        <v>122</v>
      </c>
      <c r="B27" t="s">
        <v>123</v>
      </c>
      <c r="C27" t="s">
        <v>124</v>
      </c>
      <c r="D27" t="s">
        <v>35</v>
      </c>
      <c r="E27" t="s">
        <v>46</v>
      </c>
      <c r="F27" t="s">
        <v>47</v>
      </c>
      <c r="G27" t="s">
        <v>48</v>
      </c>
      <c r="H27" t="s">
        <v>30</v>
      </c>
      <c r="I27">
        <v>1</v>
      </c>
      <c r="J27">
        <v>2125</v>
      </c>
      <c r="K27">
        <v>1818.73</v>
      </c>
      <c r="L27">
        <v>0.15</v>
      </c>
      <c r="M27" t="s">
        <v>54</v>
      </c>
      <c r="N27" t="s">
        <v>31</v>
      </c>
    </row>
    <row r="28" spans="1:14" x14ac:dyDescent="0.3">
      <c r="A28" t="s">
        <v>125</v>
      </c>
      <c r="B28" t="s">
        <v>126</v>
      </c>
      <c r="C28" t="s">
        <v>127</v>
      </c>
      <c r="D28" t="s">
        <v>39</v>
      </c>
      <c r="E28" t="s">
        <v>53</v>
      </c>
      <c r="F28" t="s">
        <v>41</v>
      </c>
      <c r="G28" t="s">
        <v>48</v>
      </c>
      <c r="H28" t="s">
        <v>30</v>
      </c>
      <c r="I28">
        <v>4</v>
      </c>
      <c r="J28">
        <v>34200</v>
      </c>
      <c r="K28">
        <v>26328.83</v>
      </c>
      <c r="L28">
        <v>0.05</v>
      </c>
      <c r="M28" t="s">
        <v>22</v>
      </c>
      <c r="N28" t="s">
        <v>90</v>
      </c>
    </row>
    <row r="29" spans="1:14" x14ac:dyDescent="0.3">
      <c r="A29" t="s">
        <v>128</v>
      </c>
      <c r="B29" t="s">
        <v>129</v>
      </c>
      <c r="C29" t="s">
        <v>71</v>
      </c>
      <c r="D29" t="s">
        <v>35</v>
      </c>
      <c r="E29" t="s">
        <v>28</v>
      </c>
      <c r="F29" t="s">
        <v>19</v>
      </c>
      <c r="G29" t="s">
        <v>20</v>
      </c>
      <c r="H29" t="s">
        <v>30</v>
      </c>
      <c r="I29">
        <v>5</v>
      </c>
      <c r="J29">
        <v>5700</v>
      </c>
      <c r="K29">
        <v>4119.53</v>
      </c>
      <c r="L29">
        <v>0.05</v>
      </c>
      <c r="M29" t="s">
        <v>22</v>
      </c>
      <c r="N29" t="s">
        <v>31</v>
      </c>
    </row>
    <row r="30" spans="1:14" x14ac:dyDescent="0.3">
      <c r="A30" t="s">
        <v>130</v>
      </c>
      <c r="B30" t="s">
        <v>131</v>
      </c>
      <c r="C30" t="s">
        <v>106</v>
      </c>
      <c r="D30" t="s">
        <v>80</v>
      </c>
      <c r="E30" t="s">
        <v>66</v>
      </c>
      <c r="F30" t="s">
        <v>67</v>
      </c>
      <c r="G30" t="s">
        <v>48</v>
      </c>
      <c r="H30" t="s">
        <v>21</v>
      </c>
      <c r="I30">
        <v>5</v>
      </c>
      <c r="J30">
        <v>16875</v>
      </c>
      <c r="K30">
        <v>14212.79</v>
      </c>
      <c r="L30">
        <v>0.25</v>
      </c>
      <c r="M30" t="s">
        <v>22</v>
      </c>
      <c r="N30" t="s">
        <v>57</v>
      </c>
    </row>
    <row r="31" spans="1:14" x14ac:dyDescent="0.3">
      <c r="A31" t="s">
        <v>132</v>
      </c>
      <c r="B31" t="s">
        <v>133</v>
      </c>
      <c r="C31" t="s">
        <v>64</v>
      </c>
      <c r="D31" t="s">
        <v>61</v>
      </c>
      <c r="E31" t="s">
        <v>28</v>
      </c>
      <c r="F31" t="s">
        <v>19</v>
      </c>
      <c r="G31" t="s">
        <v>68</v>
      </c>
      <c r="H31" t="s">
        <v>21</v>
      </c>
      <c r="I31">
        <v>1</v>
      </c>
      <c r="J31">
        <v>900</v>
      </c>
      <c r="K31">
        <v>839.24</v>
      </c>
      <c r="L31">
        <v>0.25</v>
      </c>
      <c r="M31" t="s">
        <v>22</v>
      </c>
      <c r="N31" t="s">
        <v>57</v>
      </c>
    </row>
    <row r="32" spans="1:14" x14ac:dyDescent="0.3">
      <c r="A32" t="s">
        <v>134</v>
      </c>
      <c r="B32" t="s">
        <v>133</v>
      </c>
      <c r="C32" t="s">
        <v>109</v>
      </c>
      <c r="D32" t="s">
        <v>80</v>
      </c>
      <c r="E32" t="s">
        <v>92</v>
      </c>
      <c r="F32" t="s">
        <v>47</v>
      </c>
      <c r="G32" t="s">
        <v>20</v>
      </c>
      <c r="H32" t="s">
        <v>21</v>
      </c>
      <c r="I32">
        <v>4</v>
      </c>
      <c r="J32">
        <v>6480</v>
      </c>
      <c r="K32">
        <v>5719.97</v>
      </c>
      <c r="L32">
        <v>0.1</v>
      </c>
      <c r="M32" t="s">
        <v>22</v>
      </c>
      <c r="N32" t="s">
        <v>31</v>
      </c>
    </row>
    <row r="33" spans="1:14" x14ac:dyDescent="0.3">
      <c r="A33" t="s">
        <v>135</v>
      </c>
      <c r="B33" t="s">
        <v>136</v>
      </c>
      <c r="C33" t="s">
        <v>64</v>
      </c>
      <c r="D33" t="s">
        <v>65</v>
      </c>
      <c r="E33" t="s">
        <v>18</v>
      </c>
      <c r="F33" t="s">
        <v>19</v>
      </c>
      <c r="G33" t="s">
        <v>29</v>
      </c>
      <c r="H33" t="s">
        <v>21</v>
      </c>
      <c r="I33">
        <v>3</v>
      </c>
      <c r="J33">
        <v>185250</v>
      </c>
      <c r="K33">
        <v>140794.01999999999</v>
      </c>
      <c r="L33">
        <v>0.05</v>
      </c>
      <c r="M33" t="s">
        <v>81</v>
      </c>
      <c r="N33" t="s">
        <v>90</v>
      </c>
    </row>
    <row r="34" spans="1:14" x14ac:dyDescent="0.3">
      <c r="A34" t="s">
        <v>137</v>
      </c>
      <c r="B34" t="s">
        <v>138</v>
      </c>
      <c r="C34" t="s">
        <v>95</v>
      </c>
      <c r="D34" t="s">
        <v>80</v>
      </c>
      <c r="E34" t="s">
        <v>28</v>
      </c>
      <c r="F34" t="s">
        <v>19</v>
      </c>
      <c r="G34" t="s">
        <v>48</v>
      </c>
      <c r="H34" t="s">
        <v>21</v>
      </c>
      <c r="I34">
        <v>1</v>
      </c>
      <c r="J34">
        <v>900</v>
      </c>
      <c r="K34">
        <v>952.87</v>
      </c>
      <c r="L34">
        <v>0.25</v>
      </c>
      <c r="M34" t="s">
        <v>22</v>
      </c>
      <c r="N34" t="s">
        <v>57</v>
      </c>
    </row>
    <row r="35" spans="1:14" x14ac:dyDescent="0.3">
      <c r="A35" t="s">
        <v>139</v>
      </c>
      <c r="B35" t="s">
        <v>140</v>
      </c>
      <c r="C35" t="s">
        <v>141</v>
      </c>
      <c r="D35" t="s">
        <v>80</v>
      </c>
      <c r="E35" t="s">
        <v>36</v>
      </c>
      <c r="F35" t="s">
        <v>19</v>
      </c>
      <c r="G35" t="s">
        <v>48</v>
      </c>
      <c r="H35" t="s">
        <v>30</v>
      </c>
      <c r="I35">
        <v>1</v>
      </c>
      <c r="J35">
        <v>3150</v>
      </c>
      <c r="K35">
        <v>2269.6</v>
      </c>
      <c r="L35">
        <v>0.1</v>
      </c>
      <c r="M35" t="s">
        <v>54</v>
      </c>
      <c r="N35" t="s">
        <v>57</v>
      </c>
    </row>
    <row r="36" spans="1:14" x14ac:dyDescent="0.3">
      <c r="A36" t="s">
        <v>142</v>
      </c>
      <c r="B36" t="s">
        <v>143</v>
      </c>
      <c r="C36" t="s">
        <v>16</v>
      </c>
      <c r="D36" t="s">
        <v>65</v>
      </c>
      <c r="E36" t="s">
        <v>40</v>
      </c>
      <c r="F36" t="s">
        <v>41</v>
      </c>
      <c r="G36" t="s">
        <v>68</v>
      </c>
      <c r="H36" t="s">
        <v>30</v>
      </c>
      <c r="I36">
        <v>5</v>
      </c>
      <c r="J36">
        <v>51000</v>
      </c>
      <c r="K36">
        <v>48776.160000000003</v>
      </c>
      <c r="L36">
        <v>0.15</v>
      </c>
      <c r="M36" t="s">
        <v>22</v>
      </c>
      <c r="N36" t="s">
        <v>90</v>
      </c>
    </row>
    <row r="37" spans="1:14" x14ac:dyDescent="0.3">
      <c r="A37" t="s">
        <v>144</v>
      </c>
      <c r="B37" t="s">
        <v>145</v>
      </c>
      <c r="C37" t="s">
        <v>109</v>
      </c>
      <c r="D37" t="s">
        <v>27</v>
      </c>
      <c r="E37" t="s">
        <v>36</v>
      </c>
      <c r="F37" t="s">
        <v>19</v>
      </c>
      <c r="G37" t="s">
        <v>48</v>
      </c>
      <c r="H37" t="s">
        <v>30</v>
      </c>
      <c r="I37">
        <v>3</v>
      </c>
      <c r="J37">
        <v>8925</v>
      </c>
      <c r="K37">
        <v>8049.34</v>
      </c>
      <c r="L37">
        <v>0.15</v>
      </c>
      <c r="M37" t="s">
        <v>54</v>
      </c>
      <c r="N37" t="s">
        <v>23</v>
      </c>
    </row>
    <row r="38" spans="1:14" x14ac:dyDescent="0.3">
      <c r="A38" t="s">
        <v>146</v>
      </c>
      <c r="B38" t="s">
        <v>147</v>
      </c>
      <c r="C38" t="s">
        <v>141</v>
      </c>
      <c r="D38" t="s">
        <v>39</v>
      </c>
      <c r="E38" t="s">
        <v>18</v>
      </c>
      <c r="F38" t="s">
        <v>19</v>
      </c>
      <c r="G38" t="s">
        <v>48</v>
      </c>
      <c r="H38" t="s">
        <v>42</v>
      </c>
      <c r="J38">
        <v>247000</v>
      </c>
      <c r="K38">
        <v>157010.01</v>
      </c>
      <c r="L38">
        <v>0.05</v>
      </c>
      <c r="M38" t="s">
        <v>22</v>
      </c>
      <c r="N38" t="s">
        <v>57</v>
      </c>
    </row>
    <row r="39" spans="1:14" x14ac:dyDescent="0.3">
      <c r="A39" t="s">
        <v>148</v>
      </c>
      <c r="B39" t="s">
        <v>145</v>
      </c>
      <c r="C39" t="s">
        <v>121</v>
      </c>
      <c r="D39" t="s">
        <v>61</v>
      </c>
      <c r="E39" t="s">
        <v>96</v>
      </c>
      <c r="F39" t="s">
        <v>19</v>
      </c>
      <c r="G39" t="s">
        <v>48</v>
      </c>
      <c r="H39" t="s">
        <v>21</v>
      </c>
      <c r="I39">
        <v>4</v>
      </c>
      <c r="J39">
        <v>100800</v>
      </c>
      <c r="K39">
        <v>70024.960000000006</v>
      </c>
      <c r="L39">
        <v>0.1</v>
      </c>
      <c r="M39" t="s">
        <v>22</v>
      </c>
      <c r="N39" t="s">
        <v>90</v>
      </c>
    </row>
    <row r="40" spans="1:14" x14ac:dyDescent="0.3">
      <c r="A40" t="s">
        <v>149</v>
      </c>
      <c r="B40" t="s">
        <v>150</v>
      </c>
      <c r="C40" t="s">
        <v>64</v>
      </c>
      <c r="D40" t="s">
        <v>80</v>
      </c>
      <c r="E40" t="s">
        <v>18</v>
      </c>
      <c r="F40" t="s">
        <v>19</v>
      </c>
      <c r="G40" t="s">
        <v>20</v>
      </c>
      <c r="H40" t="s">
        <v>21</v>
      </c>
      <c r="I40">
        <v>1</v>
      </c>
      <c r="J40">
        <v>58500</v>
      </c>
      <c r="K40">
        <v>38883.870000000003</v>
      </c>
      <c r="L40">
        <v>0.1</v>
      </c>
      <c r="M40" t="s">
        <v>22</v>
      </c>
      <c r="N40" t="s">
        <v>31</v>
      </c>
    </row>
    <row r="41" spans="1:14" x14ac:dyDescent="0.3">
      <c r="A41" t="s">
        <v>151</v>
      </c>
      <c r="B41" t="s">
        <v>152</v>
      </c>
      <c r="C41" t="s">
        <v>87</v>
      </c>
      <c r="D41" t="s">
        <v>27</v>
      </c>
      <c r="E41" t="s">
        <v>75</v>
      </c>
      <c r="F41" t="s">
        <v>76</v>
      </c>
      <c r="G41" t="s">
        <v>48</v>
      </c>
      <c r="H41" t="s">
        <v>30</v>
      </c>
      <c r="I41">
        <v>5</v>
      </c>
      <c r="J41">
        <v>8800</v>
      </c>
      <c r="K41">
        <v>6393.47</v>
      </c>
      <c r="L41">
        <v>0.2</v>
      </c>
      <c r="M41" t="s">
        <v>81</v>
      </c>
      <c r="N41" t="s">
        <v>90</v>
      </c>
    </row>
    <row r="42" spans="1:14" x14ac:dyDescent="0.3">
      <c r="A42" t="s">
        <v>153</v>
      </c>
      <c r="B42" t="s">
        <v>154</v>
      </c>
      <c r="C42" t="s">
        <v>16</v>
      </c>
      <c r="D42" t="s">
        <v>27</v>
      </c>
      <c r="E42" t="s">
        <v>92</v>
      </c>
      <c r="F42" t="s">
        <v>47</v>
      </c>
      <c r="G42" t="s">
        <v>48</v>
      </c>
      <c r="H42" t="s">
        <v>42</v>
      </c>
      <c r="I42">
        <v>5</v>
      </c>
      <c r="J42">
        <v>6750</v>
      </c>
      <c r="K42">
        <v>6698.21</v>
      </c>
      <c r="L42">
        <v>0.25</v>
      </c>
      <c r="M42" t="s">
        <v>22</v>
      </c>
      <c r="N42" t="s">
        <v>31</v>
      </c>
    </row>
    <row r="43" spans="1:14" x14ac:dyDescent="0.3">
      <c r="A43" t="s">
        <v>155</v>
      </c>
      <c r="B43" t="s">
        <v>152</v>
      </c>
      <c r="C43" t="s">
        <v>156</v>
      </c>
      <c r="D43" t="s">
        <v>35</v>
      </c>
      <c r="E43" t="s">
        <v>28</v>
      </c>
      <c r="F43" t="s">
        <v>19</v>
      </c>
      <c r="G43" t="s">
        <v>29</v>
      </c>
      <c r="H43" t="s">
        <v>21</v>
      </c>
      <c r="I43">
        <v>3</v>
      </c>
      <c r="J43">
        <v>2880</v>
      </c>
      <c r="K43">
        <v>2280.62</v>
      </c>
      <c r="L43">
        <v>0.2</v>
      </c>
      <c r="M43" t="s">
        <v>22</v>
      </c>
      <c r="N43" t="s">
        <v>57</v>
      </c>
    </row>
    <row r="44" spans="1:14" x14ac:dyDescent="0.3">
      <c r="A44" t="s">
        <v>157</v>
      </c>
      <c r="B44" t="s">
        <v>158</v>
      </c>
      <c r="C44" t="s">
        <v>51</v>
      </c>
      <c r="D44" t="s">
        <v>61</v>
      </c>
      <c r="E44" t="s">
        <v>75</v>
      </c>
      <c r="F44" t="s">
        <v>76</v>
      </c>
      <c r="G44" t="s">
        <v>29</v>
      </c>
      <c r="H44" t="s">
        <v>21</v>
      </c>
      <c r="I44">
        <v>4</v>
      </c>
      <c r="J44">
        <v>6600</v>
      </c>
      <c r="K44">
        <v>6617.57</v>
      </c>
      <c r="L44">
        <v>0.25</v>
      </c>
      <c r="M44" t="s">
        <v>22</v>
      </c>
      <c r="N44" t="s">
        <v>31</v>
      </c>
    </row>
    <row r="45" spans="1:14" x14ac:dyDescent="0.3">
      <c r="A45" t="s">
        <v>159</v>
      </c>
      <c r="B45" t="s">
        <v>160</v>
      </c>
      <c r="C45" t="s">
        <v>161</v>
      </c>
      <c r="D45" t="s">
        <v>39</v>
      </c>
      <c r="E45" t="s">
        <v>96</v>
      </c>
      <c r="F45" t="s">
        <v>19</v>
      </c>
      <c r="G45" t="s">
        <v>29</v>
      </c>
      <c r="H45" t="s">
        <v>42</v>
      </c>
      <c r="I45">
        <v>4</v>
      </c>
      <c r="J45">
        <v>89600</v>
      </c>
      <c r="K45">
        <v>79945.45</v>
      </c>
      <c r="L45">
        <v>0.2</v>
      </c>
      <c r="M45" t="s">
        <v>54</v>
      </c>
      <c r="N45" t="s">
        <v>57</v>
      </c>
    </row>
    <row r="46" spans="1:14" x14ac:dyDescent="0.3">
      <c r="A46" t="s">
        <v>162</v>
      </c>
      <c r="B46" t="s">
        <v>163</v>
      </c>
      <c r="C46" t="s">
        <v>164</v>
      </c>
      <c r="D46" t="s">
        <v>35</v>
      </c>
      <c r="E46" t="s">
        <v>66</v>
      </c>
      <c r="F46" t="s">
        <v>67</v>
      </c>
      <c r="G46" t="s">
        <v>20</v>
      </c>
      <c r="H46" t="s">
        <v>30</v>
      </c>
      <c r="I46">
        <v>2</v>
      </c>
      <c r="K46">
        <v>5156.05</v>
      </c>
      <c r="L46">
        <v>0.25</v>
      </c>
      <c r="M46" t="s">
        <v>54</v>
      </c>
      <c r="N46" t="s">
        <v>31</v>
      </c>
    </row>
    <row r="47" spans="1:14" x14ac:dyDescent="0.3">
      <c r="A47" t="s">
        <v>165</v>
      </c>
      <c r="B47" t="s">
        <v>166</v>
      </c>
      <c r="C47" t="s">
        <v>113</v>
      </c>
      <c r="D47" t="s">
        <v>17</v>
      </c>
      <c r="E47" t="s">
        <v>96</v>
      </c>
      <c r="F47" t="s">
        <v>19</v>
      </c>
      <c r="G47" t="s">
        <v>29</v>
      </c>
      <c r="H47" t="s">
        <v>42</v>
      </c>
      <c r="I47">
        <v>2</v>
      </c>
      <c r="J47">
        <v>56000</v>
      </c>
      <c r="K47">
        <v>31498.75</v>
      </c>
      <c r="L47">
        <v>0</v>
      </c>
      <c r="M47" t="s">
        <v>22</v>
      </c>
      <c r="N47" t="s">
        <v>57</v>
      </c>
    </row>
    <row r="48" spans="1:14" x14ac:dyDescent="0.3">
      <c r="A48" t="s">
        <v>167</v>
      </c>
      <c r="B48" t="s">
        <v>168</v>
      </c>
      <c r="C48" t="s">
        <v>116</v>
      </c>
      <c r="D48" t="s">
        <v>80</v>
      </c>
      <c r="E48" t="s">
        <v>66</v>
      </c>
      <c r="F48" t="s">
        <v>67</v>
      </c>
      <c r="G48" t="s">
        <v>20</v>
      </c>
      <c r="H48" t="s">
        <v>42</v>
      </c>
      <c r="I48">
        <v>4</v>
      </c>
      <c r="J48">
        <v>17100</v>
      </c>
      <c r="K48">
        <v>10617.2</v>
      </c>
      <c r="L48">
        <v>0.05</v>
      </c>
      <c r="M48" t="s">
        <v>22</v>
      </c>
      <c r="N48" t="s">
        <v>57</v>
      </c>
    </row>
    <row r="49" spans="1:14" x14ac:dyDescent="0.3">
      <c r="A49" t="s">
        <v>169</v>
      </c>
      <c r="B49" t="s">
        <v>170</v>
      </c>
      <c r="C49" t="s">
        <v>109</v>
      </c>
      <c r="D49" t="s">
        <v>17</v>
      </c>
      <c r="E49" t="s">
        <v>66</v>
      </c>
      <c r="F49" t="s">
        <v>67</v>
      </c>
      <c r="G49" t="s">
        <v>29</v>
      </c>
      <c r="H49" t="s">
        <v>30</v>
      </c>
      <c r="I49">
        <v>1</v>
      </c>
      <c r="J49">
        <v>3600</v>
      </c>
      <c r="K49">
        <v>2777.78</v>
      </c>
      <c r="L49">
        <v>0.2</v>
      </c>
      <c r="M49" t="s">
        <v>22</v>
      </c>
      <c r="N49" t="s">
        <v>31</v>
      </c>
    </row>
    <row r="50" spans="1:14" x14ac:dyDescent="0.3">
      <c r="A50" t="s">
        <v>171</v>
      </c>
      <c r="B50" t="s">
        <v>172</v>
      </c>
      <c r="C50" t="s">
        <v>95</v>
      </c>
      <c r="D50" t="s">
        <v>39</v>
      </c>
      <c r="E50" t="s">
        <v>46</v>
      </c>
      <c r="F50" t="s">
        <v>47</v>
      </c>
      <c r="G50" t="s">
        <v>68</v>
      </c>
      <c r="H50" t="s">
        <v>21</v>
      </c>
      <c r="I50">
        <v>5</v>
      </c>
      <c r="J50">
        <v>10625</v>
      </c>
      <c r="K50">
        <v>9678.17</v>
      </c>
      <c r="L50">
        <v>0.15</v>
      </c>
      <c r="M50" t="s">
        <v>22</v>
      </c>
      <c r="N50" t="s">
        <v>90</v>
      </c>
    </row>
    <row r="51" spans="1:14" x14ac:dyDescent="0.3">
      <c r="A51" t="s">
        <v>173</v>
      </c>
      <c r="B51" t="s">
        <v>174</v>
      </c>
      <c r="C51" t="s">
        <v>99</v>
      </c>
      <c r="D51" t="s">
        <v>61</v>
      </c>
      <c r="E51" t="s">
        <v>96</v>
      </c>
      <c r="F51" t="s">
        <v>19</v>
      </c>
      <c r="G51" t="s">
        <v>29</v>
      </c>
      <c r="H51" t="s">
        <v>30</v>
      </c>
      <c r="I51">
        <v>3</v>
      </c>
      <c r="J51">
        <v>67200</v>
      </c>
      <c r="K51">
        <v>57190.66</v>
      </c>
      <c r="L51">
        <v>0.2</v>
      </c>
      <c r="M51" t="s">
        <v>81</v>
      </c>
      <c r="N51" t="s">
        <v>31</v>
      </c>
    </row>
    <row r="52" spans="1:14" x14ac:dyDescent="0.3">
      <c r="A52" t="s">
        <v>175</v>
      </c>
      <c r="B52" t="s">
        <v>176</v>
      </c>
      <c r="C52" t="s">
        <v>121</v>
      </c>
      <c r="D52" t="s">
        <v>65</v>
      </c>
      <c r="E52" t="s">
        <v>53</v>
      </c>
      <c r="F52" t="s">
        <v>41</v>
      </c>
      <c r="G52" t="s">
        <v>68</v>
      </c>
      <c r="H52" t="s">
        <v>30</v>
      </c>
      <c r="I52">
        <v>3</v>
      </c>
      <c r="J52">
        <v>24300</v>
      </c>
      <c r="K52">
        <v>21360.17</v>
      </c>
      <c r="L52">
        <v>0.1</v>
      </c>
      <c r="M52" t="s">
        <v>22</v>
      </c>
      <c r="N52" t="s">
        <v>57</v>
      </c>
    </row>
    <row r="53" spans="1:14" x14ac:dyDescent="0.3">
      <c r="A53" t="s">
        <v>177</v>
      </c>
      <c r="B53" t="s">
        <v>178</v>
      </c>
      <c r="C53" t="s">
        <v>79</v>
      </c>
      <c r="D53" t="s">
        <v>103</v>
      </c>
      <c r="E53" t="s">
        <v>28</v>
      </c>
      <c r="F53" t="s">
        <v>19</v>
      </c>
      <c r="G53" t="s">
        <v>20</v>
      </c>
      <c r="H53" t="s">
        <v>30</v>
      </c>
      <c r="I53">
        <v>4</v>
      </c>
      <c r="J53">
        <v>4080</v>
      </c>
      <c r="K53">
        <v>3068.82</v>
      </c>
      <c r="L53">
        <v>0.15</v>
      </c>
      <c r="M53" t="s">
        <v>22</v>
      </c>
      <c r="N53" t="s">
        <v>90</v>
      </c>
    </row>
    <row r="54" spans="1:14" x14ac:dyDescent="0.3">
      <c r="A54" t="s">
        <v>179</v>
      </c>
      <c r="B54" t="s">
        <v>180</v>
      </c>
      <c r="C54" t="s">
        <v>181</v>
      </c>
      <c r="D54" t="s">
        <v>61</v>
      </c>
      <c r="E54" t="s">
        <v>46</v>
      </c>
      <c r="F54" t="s">
        <v>47</v>
      </c>
      <c r="G54" t="s">
        <v>29</v>
      </c>
      <c r="H54" t="s">
        <v>42</v>
      </c>
      <c r="I54">
        <v>4</v>
      </c>
      <c r="J54">
        <v>8500</v>
      </c>
      <c r="K54">
        <v>5515.92</v>
      </c>
      <c r="L54">
        <v>0.15</v>
      </c>
      <c r="M54" t="s">
        <v>22</v>
      </c>
      <c r="N54" t="s">
        <v>57</v>
      </c>
    </row>
    <row r="55" spans="1:14" x14ac:dyDescent="0.3">
      <c r="A55" t="s">
        <v>182</v>
      </c>
      <c r="B55" t="s">
        <v>183</v>
      </c>
      <c r="C55" t="s">
        <v>60</v>
      </c>
      <c r="D55" t="s">
        <v>35</v>
      </c>
      <c r="E55" t="s">
        <v>96</v>
      </c>
      <c r="F55" t="s">
        <v>19</v>
      </c>
      <c r="G55" t="s">
        <v>29</v>
      </c>
      <c r="H55" t="s">
        <v>21</v>
      </c>
      <c r="I55">
        <v>3</v>
      </c>
      <c r="J55">
        <v>71400</v>
      </c>
      <c r="K55">
        <v>57214.36</v>
      </c>
      <c r="L55">
        <v>0.15</v>
      </c>
      <c r="M55" t="s">
        <v>22</v>
      </c>
      <c r="N55" t="s">
        <v>90</v>
      </c>
    </row>
    <row r="56" spans="1:14" x14ac:dyDescent="0.3">
      <c r="A56" t="s">
        <v>184</v>
      </c>
      <c r="B56" t="s">
        <v>185</v>
      </c>
      <c r="C56" t="s">
        <v>124</v>
      </c>
      <c r="D56" t="s">
        <v>80</v>
      </c>
      <c r="E56" t="s">
        <v>46</v>
      </c>
      <c r="F56" t="s">
        <v>47</v>
      </c>
      <c r="G56" t="s">
        <v>20</v>
      </c>
      <c r="H56" t="s">
        <v>21</v>
      </c>
      <c r="I56">
        <v>5</v>
      </c>
      <c r="J56">
        <v>12500</v>
      </c>
      <c r="K56">
        <v>9935.8799999999992</v>
      </c>
      <c r="L56">
        <v>0</v>
      </c>
      <c r="M56" t="s">
        <v>22</v>
      </c>
      <c r="N56" t="s">
        <v>57</v>
      </c>
    </row>
    <row r="57" spans="1:14" x14ac:dyDescent="0.3">
      <c r="A57" t="s">
        <v>186</v>
      </c>
      <c r="B57" t="s">
        <v>187</v>
      </c>
      <c r="C57" t="s">
        <v>34</v>
      </c>
      <c r="D57" t="s">
        <v>39</v>
      </c>
      <c r="E57" t="s">
        <v>36</v>
      </c>
      <c r="F57" t="s">
        <v>19</v>
      </c>
      <c r="G57" t="s">
        <v>48</v>
      </c>
      <c r="H57" t="s">
        <v>42</v>
      </c>
      <c r="I57">
        <v>1</v>
      </c>
      <c r="J57">
        <v>3150</v>
      </c>
      <c r="K57">
        <v>2283.25</v>
      </c>
      <c r="L57">
        <v>0.6</v>
      </c>
      <c r="M57" t="s">
        <v>81</v>
      </c>
      <c r="N57" t="s">
        <v>90</v>
      </c>
    </row>
    <row r="58" spans="1:14" x14ac:dyDescent="0.3">
      <c r="A58" t="s">
        <v>188</v>
      </c>
      <c r="B58" t="s">
        <v>189</v>
      </c>
      <c r="C58" t="s">
        <v>16</v>
      </c>
      <c r="D58" t="s">
        <v>80</v>
      </c>
      <c r="E58" t="s">
        <v>75</v>
      </c>
      <c r="F58" t="s">
        <v>76</v>
      </c>
      <c r="G58" t="s">
        <v>48</v>
      </c>
      <c r="H58" t="s">
        <v>30</v>
      </c>
      <c r="I58">
        <v>3</v>
      </c>
      <c r="J58">
        <v>6600</v>
      </c>
      <c r="K58">
        <v>4468.09</v>
      </c>
      <c r="L58">
        <v>0</v>
      </c>
      <c r="M58" t="s">
        <v>54</v>
      </c>
      <c r="N58" t="s">
        <v>23</v>
      </c>
    </row>
    <row r="59" spans="1:14" x14ac:dyDescent="0.3">
      <c r="A59" t="s">
        <v>190</v>
      </c>
      <c r="B59" t="s">
        <v>123</v>
      </c>
      <c r="C59" t="s">
        <v>74</v>
      </c>
      <c r="D59" t="s">
        <v>65</v>
      </c>
      <c r="E59" t="s">
        <v>18</v>
      </c>
      <c r="F59" t="s">
        <v>19</v>
      </c>
      <c r="G59" t="s">
        <v>68</v>
      </c>
      <c r="H59" t="s">
        <v>30</v>
      </c>
      <c r="I59">
        <v>2</v>
      </c>
      <c r="J59">
        <v>123500</v>
      </c>
      <c r="K59">
        <v>100956.93</v>
      </c>
      <c r="L59">
        <v>0.05</v>
      </c>
      <c r="M59" t="s">
        <v>22</v>
      </c>
      <c r="N59" t="s">
        <v>23</v>
      </c>
    </row>
    <row r="60" spans="1:14" x14ac:dyDescent="0.3">
      <c r="A60" t="s">
        <v>191</v>
      </c>
      <c r="B60" t="s">
        <v>192</v>
      </c>
      <c r="C60" t="s">
        <v>74</v>
      </c>
      <c r="D60" t="s">
        <v>17</v>
      </c>
      <c r="E60" t="s">
        <v>66</v>
      </c>
      <c r="F60" t="s">
        <v>67</v>
      </c>
      <c r="G60" t="s">
        <v>68</v>
      </c>
      <c r="H60" t="s">
        <v>42</v>
      </c>
      <c r="I60">
        <v>3</v>
      </c>
      <c r="J60">
        <v>12150</v>
      </c>
      <c r="K60">
        <v>8036.59</v>
      </c>
      <c r="L60">
        <v>0.1</v>
      </c>
      <c r="M60" t="s">
        <v>22</v>
      </c>
      <c r="N60" t="s">
        <v>23</v>
      </c>
    </row>
    <row r="61" spans="1:14" x14ac:dyDescent="0.3">
      <c r="A61" t="s">
        <v>193</v>
      </c>
      <c r="B61" t="s">
        <v>194</v>
      </c>
      <c r="C61" t="s">
        <v>34</v>
      </c>
      <c r="D61" t="s">
        <v>17</v>
      </c>
      <c r="E61" t="s">
        <v>46</v>
      </c>
      <c r="F61" t="s">
        <v>47</v>
      </c>
      <c r="G61" t="s">
        <v>68</v>
      </c>
      <c r="H61" t="s">
        <v>30</v>
      </c>
      <c r="I61">
        <v>4</v>
      </c>
      <c r="J61">
        <v>8500</v>
      </c>
      <c r="K61">
        <v>8041.97</v>
      </c>
      <c r="L61">
        <v>0.15</v>
      </c>
      <c r="M61" t="s">
        <v>54</v>
      </c>
      <c r="N61" t="s">
        <v>31</v>
      </c>
    </row>
    <row r="62" spans="1:14" x14ac:dyDescent="0.3">
      <c r="A62" t="s">
        <v>195</v>
      </c>
      <c r="B62" t="s">
        <v>196</v>
      </c>
      <c r="C62" t="s">
        <v>45</v>
      </c>
      <c r="D62" t="s">
        <v>35</v>
      </c>
      <c r="E62" t="s">
        <v>46</v>
      </c>
      <c r="F62" t="s">
        <v>47</v>
      </c>
      <c r="G62" t="s">
        <v>20</v>
      </c>
      <c r="H62" t="s">
        <v>21</v>
      </c>
      <c r="I62">
        <v>1</v>
      </c>
      <c r="J62">
        <v>2250</v>
      </c>
      <c r="K62">
        <v>1734.6</v>
      </c>
      <c r="L62">
        <v>0.1</v>
      </c>
      <c r="M62" t="s">
        <v>54</v>
      </c>
      <c r="N62" t="s">
        <v>31</v>
      </c>
    </row>
    <row r="63" spans="1:14" x14ac:dyDescent="0.3">
      <c r="A63" t="s">
        <v>197</v>
      </c>
      <c r="B63" t="s">
        <v>198</v>
      </c>
      <c r="C63" t="s">
        <v>181</v>
      </c>
      <c r="D63" t="s">
        <v>39</v>
      </c>
      <c r="E63" t="s">
        <v>75</v>
      </c>
      <c r="F63" t="s">
        <v>76</v>
      </c>
      <c r="G63" t="s">
        <v>68</v>
      </c>
      <c r="H63" t="s">
        <v>42</v>
      </c>
      <c r="I63">
        <v>4</v>
      </c>
      <c r="J63">
        <v>8800</v>
      </c>
      <c r="K63">
        <v>5870.05</v>
      </c>
      <c r="L63">
        <v>0</v>
      </c>
      <c r="M63" t="s">
        <v>22</v>
      </c>
      <c r="N63" t="s">
        <v>31</v>
      </c>
    </row>
    <row r="64" spans="1:14" x14ac:dyDescent="0.3">
      <c r="A64" t="s">
        <v>199</v>
      </c>
      <c r="B64" t="s">
        <v>200</v>
      </c>
      <c r="C64" t="s">
        <v>161</v>
      </c>
      <c r="D64" t="s">
        <v>27</v>
      </c>
      <c r="E64" t="s">
        <v>66</v>
      </c>
      <c r="F64" t="s">
        <v>67</v>
      </c>
      <c r="G64" t="s">
        <v>20</v>
      </c>
      <c r="H64" t="s">
        <v>42</v>
      </c>
      <c r="I64">
        <v>4</v>
      </c>
      <c r="J64">
        <v>13500</v>
      </c>
      <c r="K64">
        <v>12779.43</v>
      </c>
      <c r="L64">
        <v>0.25</v>
      </c>
      <c r="M64" t="s">
        <v>22</v>
      </c>
      <c r="N64" t="s">
        <v>57</v>
      </c>
    </row>
    <row r="65" spans="1:14" x14ac:dyDescent="0.3">
      <c r="A65" t="s">
        <v>201</v>
      </c>
      <c r="B65" t="s">
        <v>202</v>
      </c>
      <c r="C65" t="s">
        <v>26</v>
      </c>
      <c r="D65" t="s">
        <v>39</v>
      </c>
      <c r="E65" t="s">
        <v>46</v>
      </c>
      <c r="F65" t="s">
        <v>47</v>
      </c>
      <c r="G65" t="s">
        <v>48</v>
      </c>
      <c r="H65" t="s">
        <v>30</v>
      </c>
      <c r="I65">
        <v>5</v>
      </c>
      <c r="J65">
        <v>9375</v>
      </c>
      <c r="K65">
        <v>8154.09</v>
      </c>
      <c r="L65">
        <v>0.25</v>
      </c>
      <c r="M65" t="s">
        <v>22</v>
      </c>
      <c r="N65" t="s">
        <v>57</v>
      </c>
    </row>
    <row r="66" spans="1:14" x14ac:dyDescent="0.3">
      <c r="A66" t="s">
        <v>203</v>
      </c>
      <c r="B66" t="s">
        <v>204</v>
      </c>
      <c r="C66" t="s">
        <v>116</v>
      </c>
      <c r="D66" t="s">
        <v>61</v>
      </c>
      <c r="E66" t="s">
        <v>53</v>
      </c>
      <c r="F66" t="s">
        <v>41</v>
      </c>
      <c r="G66" t="s">
        <v>20</v>
      </c>
      <c r="H66" t="s">
        <v>21</v>
      </c>
      <c r="I66">
        <v>3</v>
      </c>
      <c r="J66">
        <v>24300</v>
      </c>
      <c r="K66">
        <v>21267.53</v>
      </c>
      <c r="L66">
        <v>0.1</v>
      </c>
      <c r="M66" t="s">
        <v>22</v>
      </c>
      <c r="N66" t="s">
        <v>23</v>
      </c>
    </row>
    <row r="67" spans="1:14" x14ac:dyDescent="0.3">
      <c r="A67" t="s">
        <v>205</v>
      </c>
      <c r="B67" t="s">
        <v>206</v>
      </c>
      <c r="C67" t="s">
        <v>116</v>
      </c>
      <c r="D67" t="s">
        <v>39</v>
      </c>
      <c r="E67" t="s">
        <v>75</v>
      </c>
      <c r="F67" t="s">
        <v>76</v>
      </c>
      <c r="G67" t="s">
        <v>29</v>
      </c>
      <c r="H67" t="s">
        <v>42</v>
      </c>
      <c r="I67">
        <v>4</v>
      </c>
      <c r="J67">
        <v>7040</v>
      </c>
      <c r="K67">
        <v>6641.4</v>
      </c>
      <c r="L67">
        <v>0.2</v>
      </c>
      <c r="M67" t="s">
        <v>22</v>
      </c>
      <c r="N67" t="s">
        <v>23</v>
      </c>
    </row>
    <row r="68" spans="1:14" x14ac:dyDescent="0.3">
      <c r="A68" t="s">
        <v>207</v>
      </c>
      <c r="B68" t="s">
        <v>208</v>
      </c>
      <c r="C68" t="s">
        <v>45</v>
      </c>
      <c r="D68" t="s">
        <v>35</v>
      </c>
      <c r="E68" t="s">
        <v>96</v>
      </c>
      <c r="F68" t="s">
        <v>19</v>
      </c>
      <c r="G68" t="s">
        <v>29</v>
      </c>
      <c r="H68" t="s">
        <v>21</v>
      </c>
      <c r="I68">
        <v>4</v>
      </c>
      <c r="J68">
        <v>84000</v>
      </c>
      <c r="K68">
        <v>68957.55</v>
      </c>
      <c r="L68">
        <v>0.25</v>
      </c>
      <c r="M68" t="s">
        <v>22</v>
      </c>
      <c r="N68" t="s">
        <v>31</v>
      </c>
    </row>
    <row r="69" spans="1:14" x14ac:dyDescent="0.3">
      <c r="A69" t="s">
        <v>209</v>
      </c>
      <c r="B69" t="s">
        <v>210</v>
      </c>
      <c r="C69" t="s">
        <v>64</v>
      </c>
      <c r="D69" t="s">
        <v>61</v>
      </c>
      <c r="E69" t="s">
        <v>92</v>
      </c>
      <c r="F69" t="s">
        <v>47</v>
      </c>
      <c r="G69" t="s">
        <v>48</v>
      </c>
      <c r="H69" t="s">
        <v>30</v>
      </c>
      <c r="I69">
        <v>3</v>
      </c>
      <c r="J69">
        <v>4860</v>
      </c>
      <c r="K69">
        <v>3994.76</v>
      </c>
      <c r="L69">
        <v>0.1</v>
      </c>
      <c r="M69" t="s">
        <v>22</v>
      </c>
      <c r="N69" t="s">
        <v>57</v>
      </c>
    </row>
    <row r="70" spans="1:14" x14ac:dyDescent="0.3">
      <c r="A70" t="s">
        <v>211</v>
      </c>
      <c r="B70" t="s">
        <v>212</v>
      </c>
      <c r="C70" t="s">
        <v>34</v>
      </c>
      <c r="D70" t="s">
        <v>39</v>
      </c>
      <c r="E70" t="s">
        <v>28</v>
      </c>
      <c r="F70" t="s">
        <v>19</v>
      </c>
      <c r="G70" t="s">
        <v>48</v>
      </c>
      <c r="H70" t="s">
        <v>21</v>
      </c>
      <c r="I70">
        <v>5</v>
      </c>
      <c r="J70">
        <v>4500</v>
      </c>
      <c r="K70">
        <v>3599.94</v>
      </c>
      <c r="L70">
        <v>0.25</v>
      </c>
      <c r="M70" t="s">
        <v>22</v>
      </c>
      <c r="N70" t="s">
        <v>31</v>
      </c>
    </row>
    <row r="71" spans="1:14" x14ac:dyDescent="0.3">
      <c r="A71" t="s">
        <v>213</v>
      </c>
      <c r="B71" t="s">
        <v>129</v>
      </c>
      <c r="C71" t="s">
        <v>127</v>
      </c>
      <c r="D71" t="s">
        <v>80</v>
      </c>
      <c r="E71" t="s">
        <v>96</v>
      </c>
      <c r="F71" t="s">
        <v>19</v>
      </c>
      <c r="G71" t="s">
        <v>68</v>
      </c>
      <c r="H71" t="s">
        <v>42</v>
      </c>
      <c r="I71">
        <v>3</v>
      </c>
      <c r="J71">
        <v>79800</v>
      </c>
      <c r="K71">
        <v>54384.78</v>
      </c>
      <c r="L71">
        <v>0.05</v>
      </c>
      <c r="M71" t="s">
        <v>22</v>
      </c>
      <c r="N71" t="s">
        <v>23</v>
      </c>
    </row>
    <row r="72" spans="1:14" x14ac:dyDescent="0.3">
      <c r="A72" t="s">
        <v>214</v>
      </c>
      <c r="B72" t="s">
        <v>215</v>
      </c>
      <c r="C72" t="s">
        <v>124</v>
      </c>
      <c r="D72" t="s">
        <v>61</v>
      </c>
      <c r="E72" t="s">
        <v>36</v>
      </c>
      <c r="F72" t="s">
        <v>19</v>
      </c>
      <c r="G72" t="s">
        <v>29</v>
      </c>
      <c r="H72" t="s">
        <v>42</v>
      </c>
      <c r="I72">
        <v>4</v>
      </c>
      <c r="J72">
        <v>14000</v>
      </c>
      <c r="K72">
        <v>10998.88</v>
      </c>
      <c r="L72">
        <v>0</v>
      </c>
      <c r="M72" t="s">
        <v>22</v>
      </c>
      <c r="N72" t="s">
        <v>31</v>
      </c>
    </row>
    <row r="73" spans="1:14" x14ac:dyDescent="0.3">
      <c r="A73" t="s">
        <v>216</v>
      </c>
      <c r="B73" t="s">
        <v>217</v>
      </c>
      <c r="C73" t="s">
        <v>121</v>
      </c>
      <c r="D73" t="s">
        <v>103</v>
      </c>
      <c r="E73" t="s">
        <v>18</v>
      </c>
      <c r="F73" t="s">
        <v>19</v>
      </c>
      <c r="G73" t="s">
        <v>29</v>
      </c>
      <c r="H73" t="s">
        <v>30</v>
      </c>
      <c r="I73">
        <v>3</v>
      </c>
      <c r="J73">
        <v>165750</v>
      </c>
      <c r="K73">
        <v>113256.69</v>
      </c>
      <c r="L73">
        <v>0.15</v>
      </c>
      <c r="M73" t="s">
        <v>22</v>
      </c>
      <c r="N73" t="s">
        <v>23</v>
      </c>
    </row>
    <row r="74" spans="1:14" x14ac:dyDescent="0.3">
      <c r="A74" t="s">
        <v>218</v>
      </c>
      <c r="B74" t="s">
        <v>219</v>
      </c>
      <c r="C74" t="s">
        <v>99</v>
      </c>
      <c r="D74" t="s">
        <v>17</v>
      </c>
      <c r="E74" t="s">
        <v>36</v>
      </c>
      <c r="F74" t="s">
        <v>19</v>
      </c>
      <c r="G74" t="s">
        <v>29</v>
      </c>
      <c r="H74" t="s">
        <v>21</v>
      </c>
      <c r="I74">
        <v>5</v>
      </c>
      <c r="J74">
        <v>15750</v>
      </c>
      <c r="K74">
        <v>10027.48</v>
      </c>
      <c r="L74">
        <v>0.1</v>
      </c>
      <c r="M74" t="s">
        <v>22</v>
      </c>
      <c r="N74" t="s">
        <v>57</v>
      </c>
    </row>
    <row r="75" spans="1:14" x14ac:dyDescent="0.3">
      <c r="A75" t="s">
        <v>220</v>
      </c>
      <c r="B75" t="s">
        <v>221</v>
      </c>
      <c r="C75" t="s">
        <v>124</v>
      </c>
      <c r="D75" t="s">
        <v>103</v>
      </c>
      <c r="E75" t="s">
        <v>75</v>
      </c>
      <c r="F75" t="s">
        <v>76</v>
      </c>
      <c r="G75" t="s">
        <v>48</v>
      </c>
      <c r="H75" t="s">
        <v>21</v>
      </c>
      <c r="I75">
        <v>4</v>
      </c>
      <c r="J75">
        <v>7480</v>
      </c>
      <c r="K75">
        <v>5546.51</v>
      </c>
      <c r="L75">
        <v>0.15</v>
      </c>
      <c r="M75" t="s">
        <v>22</v>
      </c>
      <c r="N75" t="s">
        <v>23</v>
      </c>
    </row>
    <row r="76" spans="1:14" x14ac:dyDescent="0.3">
      <c r="A76" t="s">
        <v>222</v>
      </c>
      <c r="B76" t="s">
        <v>223</v>
      </c>
      <c r="C76" t="s">
        <v>51</v>
      </c>
      <c r="D76" t="s">
        <v>27</v>
      </c>
      <c r="E76" t="s">
        <v>96</v>
      </c>
      <c r="F76" t="s">
        <v>19</v>
      </c>
      <c r="G76" t="s">
        <v>68</v>
      </c>
      <c r="H76" t="s">
        <v>21</v>
      </c>
      <c r="I76">
        <v>2</v>
      </c>
      <c r="J76">
        <v>50400</v>
      </c>
      <c r="K76">
        <v>40785.67</v>
      </c>
      <c r="L76">
        <v>0.1</v>
      </c>
      <c r="M76" t="s">
        <v>22</v>
      </c>
      <c r="N76" t="s">
        <v>57</v>
      </c>
    </row>
    <row r="77" spans="1:14" x14ac:dyDescent="0.3">
      <c r="A77" t="s">
        <v>224</v>
      </c>
      <c r="B77" t="s">
        <v>225</v>
      </c>
      <c r="C77" t="s">
        <v>127</v>
      </c>
      <c r="D77" t="s">
        <v>80</v>
      </c>
      <c r="E77" t="s">
        <v>75</v>
      </c>
      <c r="F77" t="s">
        <v>76</v>
      </c>
      <c r="G77" t="s">
        <v>68</v>
      </c>
      <c r="H77" t="s">
        <v>42</v>
      </c>
      <c r="I77">
        <v>4</v>
      </c>
      <c r="J77">
        <v>6600</v>
      </c>
      <c r="K77">
        <v>6250.9</v>
      </c>
      <c r="L77">
        <v>0.25</v>
      </c>
      <c r="M77" t="s">
        <v>81</v>
      </c>
      <c r="N77" t="s">
        <v>31</v>
      </c>
    </row>
    <row r="78" spans="1:14" x14ac:dyDescent="0.3">
      <c r="A78" t="s">
        <v>226</v>
      </c>
      <c r="B78" t="s">
        <v>227</v>
      </c>
      <c r="C78" t="s">
        <v>228</v>
      </c>
      <c r="D78" t="s">
        <v>27</v>
      </c>
      <c r="E78" t="s">
        <v>28</v>
      </c>
      <c r="F78" t="s">
        <v>19</v>
      </c>
      <c r="G78" t="s">
        <v>29</v>
      </c>
      <c r="H78" t="s">
        <v>30</v>
      </c>
      <c r="I78">
        <v>2</v>
      </c>
      <c r="J78">
        <v>2160</v>
      </c>
      <c r="K78">
        <v>1830.51</v>
      </c>
      <c r="L78">
        <v>0.1</v>
      </c>
      <c r="M78" t="s">
        <v>22</v>
      </c>
      <c r="N78" t="s">
        <v>57</v>
      </c>
    </row>
    <row r="79" spans="1:14" x14ac:dyDescent="0.3">
      <c r="A79" t="s">
        <v>229</v>
      </c>
      <c r="B79" t="s">
        <v>230</v>
      </c>
      <c r="C79" t="s">
        <v>106</v>
      </c>
      <c r="D79" t="s">
        <v>61</v>
      </c>
      <c r="E79" t="s">
        <v>53</v>
      </c>
      <c r="F79" t="s">
        <v>41</v>
      </c>
      <c r="G79" t="s">
        <v>48</v>
      </c>
      <c r="H79" t="s">
        <v>42</v>
      </c>
      <c r="I79">
        <v>2</v>
      </c>
      <c r="J79">
        <v>18000</v>
      </c>
      <c r="K79">
        <v>10189.84</v>
      </c>
      <c r="L79">
        <v>0</v>
      </c>
      <c r="M79" t="s">
        <v>22</v>
      </c>
      <c r="N79" t="s">
        <v>90</v>
      </c>
    </row>
    <row r="80" spans="1:14" x14ac:dyDescent="0.3">
      <c r="A80" t="s">
        <v>231</v>
      </c>
      <c r="B80" t="s">
        <v>232</v>
      </c>
      <c r="C80" t="s">
        <v>79</v>
      </c>
      <c r="D80" t="s">
        <v>17</v>
      </c>
      <c r="E80" t="s">
        <v>75</v>
      </c>
      <c r="F80" t="s">
        <v>76</v>
      </c>
      <c r="G80" t="s">
        <v>20</v>
      </c>
      <c r="H80" t="s">
        <v>42</v>
      </c>
      <c r="I80">
        <v>3</v>
      </c>
      <c r="J80">
        <v>5280</v>
      </c>
      <c r="K80">
        <v>4592.25</v>
      </c>
      <c r="L80">
        <v>0.2</v>
      </c>
      <c r="M80" t="s">
        <v>81</v>
      </c>
      <c r="N80" t="s">
        <v>31</v>
      </c>
    </row>
    <row r="81" spans="1:14" x14ac:dyDescent="0.3">
      <c r="A81" t="s">
        <v>233</v>
      </c>
      <c r="B81" t="s">
        <v>234</v>
      </c>
      <c r="C81" t="s">
        <v>235</v>
      </c>
      <c r="D81" t="s">
        <v>80</v>
      </c>
      <c r="E81" t="s">
        <v>18</v>
      </c>
      <c r="F81" t="s">
        <v>19</v>
      </c>
      <c r="G81" t="s">
        <v>48</v>
      </c>
      <c r="H81" t="s">
        <v>21</v>
      </c>
      <c r="I81">
        <v>1</v>
      </c>
      <c r="J81">
        <v>61750</v>
      </c>
      <c r="K81">
        <v>52631.54</v>
      </c>
      <c r="L81">
        <v>0.05</v>
      </c>
      <c r="M81" t="s">
        <v>22</v>
      </c>
      <c r="N81" t="s">
        <v>57</v>
      </c>
    </row>
    <row r="82" spans="1:14" x14ac:dyDescent="0.3">
      <c r="A82" t="s">
        <v>236</v>
      </c>
      <c r="B82" t="s">
        <v>237</v>
      </c>
      <c r="C82" t="s">
        <v>124</v>
      </c>
      <c r="D82" t="s">
        <v>103</v>
      </c>
      <c r="E82" t="s">
        <v>92</v>
      </c>
      <c r="F82" t="s">
        <v>47</v>
      </c>
      <c r="G82" t="s">
        <v>29</v>
      </c>
      <c r="H82" t="s">
        <v>30</v>
      </c>
      <c r="I82">
        <v>4</v>
      </c>
      <c r="J82">
        <v>6480</v>
      </c>
      <c r="K82">
        <v>4312.8100000000004</v>
      </c>
      <c r="L82">
        <v>0.1</v>
      </c>
      <c r="M82" t="s">
        <v>22</v>
      </c>
      <c r="N82" t="s">
        <v>31</v>
      </c>
    </row>
    <row r="83" spans="1:14" x14ac:dyDescent="0.3">
      <c r="A83" t="s">
        <v>238</v>
      </c>
      <c r="B83" t="s">
        <v>239</v>
      </c>
      <c r="C83" t="s">
        <v>51</v>
      </c>
      <c r="D83" t="s">
        <v>35</v>
      </c>
      <c r="E83" t="s">
        <v>40</v>
      </c>
      <c r="F83" t="s">
        <v>41</v>
      </c>
      <c r="G83" t="s">
        <v>29</v>
      </c>
      <c r="H83" t="s">
        <v>21</v>
      </c>
      <c r="I83">
        <v>3</v>
      </c>
      <c r="J83">
        <v>27000</v>
      </c>
      <c r="K83">
        <v>20816.71</v>
      </c>
      <c r="L83">
        <v>0.25</v>
      </c>
      <c r="M83" t="s">
        <v>22</v>
      </c>
      <c r="N83" t="s">
        <v>31</v>
      </c>
    </row>
    <row r="84" spans="1:14" x14ac:dyDescent="0.3">
      <c r="A84" t="s">
        <v>240</v>
      </c>
      <c r="B84" t="s">
        <v>241</v>
      </c>
      <c r="C84" t="s">
        <v>64</v>
      </c>
      <c r="D84" t="s">
        <v>35</v>
      </c>
      <c r="E84" t="s">
        <v>92</v>
      </c>
      <c r="F84" t="s">
        <v>47</v>
      </c>
      <c r="G84" t="s">
        <v>20</v>
      </c>
      <c r="H84" t="s">
        <v>42</v>
      </c>
      <c r="I84">
        <v>1</v>
      </c>
      <c r="J84">
        <v>1530</v>
      </c>
      <c r="K84">
        <v>1032.8</v>
      </c>
      <c r="L84">
        <v>0.15</v>
      </c>
      <c r="M84" t="s">
        <v>22</v>
      </c>
      <c r="N84" t="s">
        <v>23</v>
      </c>
    </row>
    <row r="85" spans="1:14" x14ac:dyDescent="0.3">
      <c r="A85" t="s">
        <v>242</v>
      </c>
      <c r="B85" t="s">
        <v>187</v>
      </c>
      <c r="C85" t="s">
        <v>74</v>
      </c>
      <c r="D85" t="s">
        <v>39</v>
      </c>
      <c r="E85" t="s">
        <v>75</v>
      </c>
      <c r="F85" t="s">
        <v>76</v>
      </c>
      <c r="G85" t="s">
        <v>29</v>
      </c>
      <c r="H85" t="s">
        <v>30</v>
      </c>
      <c r="I85">
        <v>1</v>
      </c>
      <c r="J85">
        <v>2090</v>
      </c>
      <c r="K85">
        <v>1517.95</v>
      </c>
      <c r="L85">
        <v>0.05</v>
      </c>
      <c r="M85" t="s">
        <v>22</v>
      </c>
      <c r="N85" t="s">
        <v>31</v>
      </c>
    </row>
    <row r="86" spans="1:14" x14ac:dyDescent="0.3">
      <c r="A86" t="s">
        <v>243</v>
      </c>
      <c r="B86" t="s">
        <v>244</v>
      </c>
      <c r="C86" t="s">
        <v>26</v>
      </c>
      <c r="D86" t="s">
        <v>27</v>
      </c>
      <c r="E86" t="s">
        <v>53</v>
      </c>
      <c r="F86" t="s">
        <v>41</v>
      </c>
      <c r="G86" t="s">
        <v>68</v>
      </c>
      <c r="H86" t="s">
        <v>42</v>
      </c>
      <c r="I86">
        <v>4</v>
      </c>
      <c r="J86">
        <v>27000</v>
      </c>
      <c r="K86">
        <v>24511.4</v>
      </c>
      <c r="L86">
        <v>0.25</v>
      </c>
      <c r="M86" t="s">
        <v>22</v>
      </c>
      <c r="N86" t="s">
        <v>23</v>
      </c>
    </row>
    <row r="87" spans="1:14" x14ac:dyDescent="0.3">
      <c r="A87" t="s">
        <v>245</v>
      </c>
      <c r="B87" t="s">
        <v>246</v>
      </c>
      <c r="C87" t="s">
        <v>102</v>
      </c>
      <c r="D87" t="s">
        <v>65</v>
      </c>
      <c r="E87" t="s">
        <v>28</v>
      </c>
      <c r="F87" t="s">
        <v>19</v>
      </c>
      <c r="G87" t="s">
        <v>29</v>
      </c>
      <c r="H87" t="s">
        <v>21</v>
      </c>
      <c r="I87">
        <v>2</v>
      </c>
      <c r="J87">
        <v>2400</v>
      </c>
      <c r="K87">
        <v>1619.02</v>
      </c>
      <c r="L87">
        <v>0</v>
      </c>
      <c r="M87" t="s">
        <v>22</v>
      </c>
      <c r="N87" t="s">
        <v>31</v>
      </c>
    </row>
    <row r="88" spans="1:14" x14ac:dyDescent="0.3">
      <c r="A88" t="s">
        <v>247</v>
      </c>
      <c r="B88" t="s">
        <v>248</v>
      </c>
      <c r="C88" t="s">
        <v>71</v>
      </c>
      <c r="D88" t="s">
        <v>103</v>
      </c>
      <c r="E88" t="s">
        <v>66</v>
      </c>
      <c r="F88" t="s">
        <v>67</v>
      </c>
      <c r="G88" t="s">
        <v>68</v>
      </c>
      <c r="H88" t="s">
        <v>21</v>
      </c>
      <c r="I88">
        <v>4</v>
      </c>
      <c r="J88">
        <v>17100</v>
      </c>
      <c r="K88">
        <v>12119.98</v>
      </c>
      <c r="L88">
        <v>0.05</v>
      </c>
      <c r="M88" t="s">
        <v>22</v>
      </c>
      <c r="N88" t="s">
        <v>57</v>
      </c>
    </row>
    <row r="89" spans="1:14" x14ac:dyDescent="0.3">
      <c r="A89" t="s">
        <v>249</v>
      </c>
      <c r="B89" t="s">
        <v>250</v>
      </c>
      <c r="C89" t="s">
        <v>164</v>
      </c>
      <c r="D89" t="s">
        <v>61</v>
      </c>
      <c r="E89" t="s">
        <v>53</v>
      </c>
      <c r="F89" t="s">
        <v>41</v>
      </c>
      <c r="G89" t="s">
        <v>20</v>
      </c>
      <c r="H89" t="s">
        <v>42</v>
      </c>
      <c r="I89">
        <v>4</v>
      </c>
      <c r="J89">
        <v>32400</v>
      </c>
      <c r="K89">
        <v>28880.89</v>
      </c>
      <c r="L89">
        <v>0.1</v>
      </c>
      <c r="M89" t="s">
        <v>81</v>
      </c>
      <c r="N89" t="s">
        <v>31</v>
      </c>
    </row>
    <row r="90" spans="1:14" x14ac:dyDescent="0.3">
      <c r="A90" t="s">
        <v>251</v>
      </c>
      <c r="B90" t="s">
        <v>252</v>
      </c>
      <c r="C90" t="s">
        <v>161</v>
      </c>
      <c r="D90" t="s">
        <v>103</v>
      </c>
      <c r="E90" t="s">
        <v>36</v>
      </c>
      <c r="F90" t="s">
        <v>19</v>
      </c>
      <c r="G90" t="s">
        <v>29</v>
      </c>
      <c r="H90" t="s">
        <v>42</v>
      </c>
      <c r="I90">
        <v>4</v>
      </c>
      <c r="J90">
        <v>11200</v>
      </c>
      <c r="K90">
        <v>9530.81</v>
      </c>
      <c r="L90">
        <v>0.2</v>
      </c>
      <c r="M90" t="s">
        <v>22</v>
      </c>
      <c r="N90" t="s">
        <v>57</v>
      </c>
    </row>
    <row r="91" spans="1:14" x14ac:dyDescent="0.3">
      <c r="A91" t="s">
        <v>253</v>
      </c>
      <c r="B91" t="s">
        <v>168</v>
      </c>
      <c r="C91" t="s">
        <v>113</v>
      </c>
      <c r="D91" t="s">
        <v>103</v>
      </c>
      <c r="E91" t="s">
        <v>96</v>
      </c>
      <c r="F91" t="s">
        <v>19</v>
      </c>
      <c r="G91" t="s">
        <v>29</v>
      </c>
      <c r="H91" t="s">
        <v>21</v>
      </c>
      <c r="I91">
        <v>4</v>
      </c>
      <c r="J91">
        <v>112000</v>
      </c>
      <c r="K91">
        <v>71221.649999999994</v>
      </c>
      <c r="L91">
        <v>0</v>
      </c>
      <c r="M91" t="s">
        <v>54</v>
      </c>
      <c r="N91" t="s">
        <v>57</v>
      </c>
    </row>
    <row r="92" spans="1:14" x14ac:dyDescent="0.3">
      <c r="A92" t="s">
        <v>254</v>
      </c>
      <c r="B92" t="s">
        <v>255</v>
      </c>
      <c r="C92" t="s">
        <v>161</v>
      </c>
      <c r="D92" t="s">
        <v>17</v>
      </c>
      <c r="E92" t="s">
        <v>18</v>
      </c>
      <c r="F92" t="s">
        <v>19</v>
      </c>
      <c r="G92" t="s">
        <v>29</v>
      </c>
      <c r="H92" t="s">
        <v>30</v>
      </c>
      <c r="I92">
        <v>2</v>
      </c>
      <c r="J92">
        <v>104000</v>
      </c>
      <c r="K92">
        <v>105383.91</v>
      </c>
      <c r="L92">
        <v>0.2</v>
      </c>
      <c r="M92" t="s">
        <v>22</v>
      </c>
      <c r="N92" t="s">
        <v>90</v>
      </c>
    </row>
    <row r="93" spans="1:14" x14ac:dyDescent="0.3">
      <c r="A93" t="s">
        <v>256</v>
      </c>
      <c r="B93" t="s">
        <v>112</v>
      </c>
      <c r="C93" t="s">
        <v>121</v>
      </c>
      <c r="D93" t="s">
        <v>39</v>
      </c>
      <c r="E93" t="s">
        <v>36</v>
      </c>
      <c r="F93" t="s">
        <v>19</v>
      </c>
      <c r="G93" t="s">
        <v>48</v>
      </c>
      <c r="H93" t="s">
        <v>42</v>
      </c>
      <c r="I93">
        <v>4</v>
      </c>
      <c r="J93">
        <v>10500</v>
      </c>
      <c r="K93">
        <v>11366.44</v>
      </c>
      <c r="L93">
        <v>0.25</v>
      </c>
      <c r="M93" t="s">
        <v>22</v>
      </c>
      <c r="N93" t="s">
        <v>90</v>
      </c>
    </row>
    <row r="94" spans="1:14" x14ac:dyDescent="0.3">
      <c r="A94" t="s">
        <v>257</v>
      </c>
      <c r="B94" t="s">
        <v>258</v>
      </c>
      <c r="C94" t="s">
        <v>228</v>
      </c>
      <c r="D94" t="s">
        <v>39</v>
      </c>
      <c r="E94" t="s">
        <v>40</v>
      </c>
      <c r="F94" t="s">
        <v>41</v>
      </c>
      <c r="G94" t="s">
        <v>20</v>
      </c>
      <c r="H94" t="s">
        <v>21</v>
      </c>
      <c r="I94">
        <v>5</v>
      </c>
      <c r="J94">
        <v>51000</v>
      </c>
      <c r="K94">
        <v>48457.06</v>
      </c>
      <c r="L94">
        <v>0.15</v>
      </c>
      <c r="M94" t="s">
        <v>22</v>
      </c>
      <c r="N94" t="s">
        <v>57</v>
      </c>
    </row>
    <row r="95" spans="1:14" x14ac:dyDescent="0.3">
      <c r="A95" t="s">
        <v>259</v>
      </c>
      <c r="B95" t="s">
        <v>260</v>
      </c>
      <c r="C95" t="s">
        <v>261</v>
      </c>
      <c r="D95" t="s">
        <v>17</v>
      </c>
      <c r="E95" t="s">
        <v>96</v>
      </c>
      <c r="F95" t="s">
        <v>19</v>
      </c>
      <c r="G95" t="s">
        <v>29</v>
      </c>
      <c r="H95" t="s">
        <v>30</v>
      </c>
      <c r="I95">
        <v>1</v>
      </c>
      <c r="J95">
        <v>23800</v>
      </c>
      <c r="K95">
        <v>22796.23</v>
      </c>
      <c r="L95">
        <v>0.15</v>
      </c>
      <c r="M95" t="s">
        <v>54</v>
      </c>
      <c r="N95" t="s">
        <v>31</v>
      </c>
    </row>
    <row r="96" spans="1:14" x14ac:dyDescent="0.3">
      <c r="A96" t="s">
        <v>262</v>
      </c>
      <c r="B96" t="s">
        <v>263</v>
      </c>
      <c r="C96" t="s">
        <v>181</v>
      </c>
      <c r="D96" t="s">
        <v>103</v>
      </c>
      <c r="E96" t="s">
        <v>18</v>
      </c>
      <c r="F96" t="s">
        <v>19</v>
      </c>
      <c r="G96" t="s">
        <v>68</v>
      </c>
      <c r="H96" t="s">
        <v>30</v>
      </c>
      <c r="I96">
        <v>3</v>
      </c>
      <c r="J96">
        <v>195000</v>
      </c>
      <c r="K96">
        <v>122695.81</v>
      </c>
      <c r="L96">
        <v>0</v>
      </c>
      <c r="M96" t="s">
        <v>22</v>
      </c>
      <c r="N96" t="s">
        <v>90</v>
      </c>
    </row>
    <row r="97" spans="1:14" x14ac:dyDescent="0.3">
      <c r="A97" t="s">
        <v>264</v>
      </c>
      <c r="B97" t="s">
        <v>265</v>
      </c>
      <c r="C97" t="s">
        <v>60</v>
      </c>
      <c r="D97" t="s">
        <v>27</v>
      </c>
      <c r="E97" t="s">
        <v>36</v>
      </c>
      <c r="F97" t="s">
        <v>19</v>
      </c>
      <c r="G97" t="s">
        <v>29</v>
      </c>
      <c r="H97" t="s">
        <v>21</v>
      </c>
      <c r="I97">
        <v>2</v>
      </c>
      <c r="J97">
        <v>7000</v>
      </c>
      <c r="K97">
        <v>5001.9399999999996</v>
      </c>
      <c r="L97">
        <v>0</v>
      </c>
      <c r="M97" t="s">
        <v>22</v>
      </c>
      <c r="N97" t="s">
        <v>57</v>
      </c>
    </row>
    <row r="98" spans="1:14" x14ac:dyDescent="0.3">
      <c r="A98" t="s">
        <v>266</v>
      </c>
      <c r="B98" t="s">
        <v>187</v>
      </c>
      <c r="C98" t="s">
        <v>87</v>
      </c>
      <c r="D98" t="s">
        <v>39</v>
      </c>
      <c r="E98" t="s">
        <v>53</v>
      </c>
      <c r="F98" t="s">
        <v>41</v>
      </c>
      <c r="G98" t="s">
        <v>48</v>
      </c>
      <c r="H98" t="s">
        <v>21</v>
      </c>
      <c r="I98">
        <v>4</v>
      </c>
      <c r="J98">
        <v>32400</v>
      </c>
      <c r="K98">
        <v>26281.69</v>
      </c>
      <c r="L98">
        <v>0.1</v>
      </c>
      <c r="M98" t="s">
        <v>22</v>
      </c>
      <c r="N98" t="s">
        <v>57</v>
      </c>
    </row>
    <row r="99" spans="1:14" x14ac:dyDescent="0.3">
      <c r="A99" t="s">
        <v>267</v>
      </c>
      <c r="B99" t="s">
        <v>268</v>
      </c>
      <c r="C99" t="s">
        <v>156</v>
      </c>
      <c r="D99" t="s">
        <v>61</v>
      </c>
      <c r="E99" t="s">
        <v>66</v>
      </c>
      <c r="F99" t="s">
        <v>67</v>
      </c>
      <c r="G99" t="s">
        <v>29</v>
      </c>
      <c r="H99" t="s">
        <v>42</v>
      </c>
      <c r="I99">
        <v>3</v>
      </c>
      <c r="J99">
        <v>10800</v>
      </c>
      <c r="K99">
        <v>8515.42</v>
      </c>
      <c r="L99">
        <v>0.2</v>
      </c>
      <c r="M99" t="s">
        <v>22</v>
      </c>
      <c r="N99" t="s">
        <v>90</v>
      </c>
    </row>
    <row r="100" spans="1:14" x14ac:dyDescent="0.3">
      <c r="A100" t="s">
        <v>269</v>
      </c>
      <c r="B100" t="s">
        <v>200</v>
      </c>
      <c r="C100" t="s">
        <v>124</v>
      </c>
      <c r="D100" t="s">
        <v>61</v>
      </c>
      <c r="E100" t="s">
        <v>28</v>
      </c>
      <c r="F100" t="s">
        <v>19</v>
      </c>
      <c r="G100" t="s">
        <v>48</v>
      </c>
      <c r="H100" t="s">
        <v>30</v>
      </c>
      <c r="I100">
        <v>2</v>
      </c>
      <c r="J100">
        <v>2040</v>
      </c>
      <c r="K100">
        <v>1690.61</v>
      </c>
      <c r="L100">
        <v>0.15</v>
      </c>
      <c r="M100" t="s">
        <v>54</v>
      </c>
      <c r="N100" t="s">
        <v>90</v>
      </c>
    </row>
    <row r="101" spans="1:14" x14ac:dyDescent="0.3">
      <c r="A101" t="s">
        <v>270</v>
      </c>
      <c r="B101" t="s">
        <v>271</v>
      </c>
      <c r="C101" t="s">
        <v>119</v>
      </c>
      <c r="D101" t="s">
        <v>39</v>
      </c>
      <c r="E101" t="s">
        <v>18</v>
      </c>
      <c r="F101" t="s">
        <v>19</v>
      </c>
      <c r="G101" t="s">
        <v>48</v>
      </c>
      <c r="H101" t="s">
        <v>30</v>
      </c>
      <c r="I101">
        <v>5</v>
      </c>
      <c r="J101">
        <v>243750</v>
      </c>
      <c r="K101">
        <v>247046.84</v>
      </c>
      <c r="L101">
        <v>0.25</v>
      </c>
      <c r="M101" t="s">
        <v>22</v>
      </c>
      <c r="N101" t="s">
        <v>31</v>
      </c>
    </row>
    <row r="102" spans="1:14" x14ac:dyDescent="0.3">
      <c r="A102" t="s">
        <v>72</v>
      </c>
      <c r="B102" t="s">
        <v>73</v>
      </c>
      <c r="C102" t="s">
        <v>74</v>
      </c>
      <c r="D102" t="s">
        <v>39</v>
      </c>
      <c r="E102" t="s">
        <v>75</v>
      </c>
      <c r="F102" t="s">
        <v>76</v>
      </c>
      <c r="G102" t="s">
        <v>48</v>
      </c>
      <c r="H102" t="s">
        <v>21</v>
      </c>
      <c r="I102">
        <v>5</v>
      </c>
      <c r="J102">
        <v>11000</v>
      </c>
      <c r="K102">
        <v>7192.76</v>
      </c>
      <c r="L102">
        <v>0</v>
      </c>
      <c r="M102" t="s">
        <v>22</v>
      </c>
      <c r="N102" t="s">
        <v>23</v>
      </c>
    </row>
    <row r="112" spans="1:14" x14ac:dyDescent="0.3">
      <c r="E112" t="b">
        <f>A12=A102</f>
        <v>1</v>
      </c>
    </row>
    <row r="113" spans="5:5" x14ac:dyDescent="0.3">
      <c r="E113" t="str">
        <f>IF(SUMPRODUCT(--(A12:N12&lt;&gt;A102:N102))=0,"Exact Duplicate","Different Data")</f>
        <v>Exact Duplicate</v>
      </c>
    </row>
  </sheetData>
  <autoFilter ref="A1:A102" xr:uid="{B7381F08-D63E-42F7-9462-ED4765E8227F}"/>
  <conditionalFormatting sqref="A1:A1048576">
    <cfRule type="duplicateValues" dxfId="8" priority="1"/>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F19" sqref="F19"/>
    </sheetView>
  </sheetViews>
  <sheetFormatPr defaultRowHeight="14.4" x14ac:dyDescent="0.3"/>
  <cols>
    <col min="1" max="2" width="28.77734375" customWidth="1"/>
  </cols>
  <sheetData>
    <row r="1" spans="1:2" x14ac:dyDescent="0.3">
      <c r="A1" s="1" t="s">
        <v>272</v>
      </c>
      <c r="B1" s="1" t="s">
        <v>273</v>
      </c>
    </row>
    <row r="2" spans="1:2" x14ac:dyDescent="0.3">
      <c r="A2" t="s">
        <v>274</v>
      </c>
      <c r="B2" t="s">
        <v>275</v>
      </c>
    </row>
    <row r="3" spans="1:2" x14ac:dyDescent="0.3">
      <c r="A3" t="s">
        <v>276</v>
      </c>
      <c r="B3" t="s">
        <v>277</v>
      </c>
    </row>
    <row r="4" spans="1:2" x14ac:dyDescent="0.3">
      <c r="A4" t="s">
        <v>278</v>
      </c>
      <c r="B4" t="s">
        <v>279</v>
      </c>
    </row>
    <row r="5" spans="1:2" x14ac:dyDescent="0.3">
      <c r="A5" t="s">
        <v>280</v>
      </c>
      <c r="B5" t="s">
        <v>281</v>
      </c>
    </row>
    <row r="6" spans="1:2" x14ac:dyDescent="0.3">
      <c r="A6" t="s">
        <v>282</v>
      </c>
      <c r="B6" t="s">
        <v>283</v>
      </c>
    </row>
    <row r="7" spans="1:2" x14ac:dyDescent="0.3">
      <c r="A7" t="s">
        <v>284</v>
      </c>
      <c r="B7" t="s">
        <v>285</v>
      </c>
    </row>
    <row r="8" spans="1:2" x14ac:dyDescent="0.3">
      <c r="A8" t="s">
        <v>286</v>
      </c>
      <c r="B8" t="s">
        <v>287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31749-EF53-4931-87D9-B8DEFF4436CE}">
  <dimension ref="A2:E14"/>
  <sheetViews>
    <sheetView workbookViewId="0">
      <selection activeCell="C5" sqref="C5:C13"/>
    </sheetView>
  </sheetViews>
  <sheetFormatPr defaultRowHeight="14.4" x14ac:dyDescent="0.3"/>
  <cols>
    <col min="1" max="1" width="12.5546875" bestFit="1" customWidth="1"/>
    <col min="2" max="2" width="9.88671875" bestFit="1" customWidth="1"/>
    <col min="3" max="3" width="13.109375" bestFit="1" customWidth="1"/>
    <col min="4" max="4" width="17.6640625" bestFit="1" customWidth="1"/>
    <col min="5" max="5" width="18.6640625" bestFit="1" customWidth="1"/>
    <col min="6" max="6" width="7" bestFit="1" customWidth="1"/>
    <col min="7" max="7" width="5" bestFit="1" customWidth="1"/>
    <col min="8" max="8" width="3.44140625" bestFit="1" customWidth="1"/>
    <col min="9" max="9" width="5" bestFit="1" customWidth="1"/>
    <col min="10" max="12" width="6" bestFit="1" customWidth="1"/>
    <col min="13" max="13" width="5" bestFit="1" customWidth="1"/>
    <col min="14" max="14" width="6" bestFit="1" customWidth="1"/>
    <col min="15" max="18" width="5" bestFit="1" customWidth="1"/>
    <col min="19" max="19" width="4" bestFit="1" customWidth="1"/>
    <col min="20" max="20" width="5" bestFit="1" customWidth="1"/>
    <col min="21" max="22" width="6" bestFit="1" customWidth="1"/>
    <col min="23" max="23" width="5" bestFit="1" customWidth="1"/>
    <col min="24" max="26" width="6" bestFit="1" customWidth="1"/>
    <col min="27" max="27" width="5" bestFit="1" customWidth="1"/>
    <col min="28" max="28" width="6" bestFit="1" customWidth="1"/>
    <col min="29" max="29" width="5" bestFit="1" customWidth="1"/>
    <col min="30" max="30" width="6" bestFit="1" customWidth="1"/>
    <col min="31" max="33" width="5" bestFit="1" customWidth="1"/>
    <col min="34" max="37" width="6" bestFit="1" customWidth="1"/>
    <col min="38" max="39" width="5" bestFit="1" customWidth="1"/>
    <col min="40" max="40" width="6" bestFit="1" customWidth="1"/>
    <col min="41" max="42" width="5" bestFit="1" customWidth="1"/>
    <col min="43" max="43" width="6" bestFit="1" customWidth="1"/>
    <col min="44" max="44" width="7" bestFit="1" customWidth="1"/>
    <col min="45" max="47" width="6" bestFit="1" customWidth="1"/>
    <col min="48" max="49" width="5" bestFit="1" customWidth="1"/>
    <col min="50" max="50" width="6" bestFit="1" customWidth="1"/>
    <col min="51" max="51" width="5" bestFit="1" customWidth="1"/>
    <col min="52" max="53" width="6" bestFit="1" customWidth="1"/>
    <col min="54" max="54" width="5" bestFit="1" customWidth="1"/>
    <col min="55" max="55" width="6" bestFit="1" customWidth="1"/>
    <col min="56" max="56" width="5" bestFit="1" customWidth="1"/>
    <col min="57" max="57" width="6" bestFit="1" customWidth="1"/>
    <col min="58" max="59" width="7" bestFit="1" customWidth="1"/>
    <col min="60" max="61" width="5" bestFit="1" customWidth="1"/>
    <col min="62" max="62" width="6" bestFit="1" customWidth="1"/>
    <col min="63" max="63" width="5" bestFit="1" customWidth="1"/>
    <col min="64" max="64" width="6" bestFit="1" customWidth="1"/>
    <col min="65" max="73" width="5" bestFit="1" customWidth="1"/>
    <col min="74" max="75" width="6" bestFit="1" customWidth="1"/>
    <col min="76" max="76" width="7" bestFit="1" customWidth="1"/>
    <col min="77" max="77" width="6" bestFit="1" customWidth="1"/>
    <col min="78" max="78" width="5" bestFit="1" customWidth="1"/>
    <col min="79" max="79" width="7" bestFit="1" customWidth="1"/>
    <col min="80" max="80" width="6" bestFit="1" customWidth="1"/>
    <col min="81" max="86" width="5" bestFit="1" customWidth="1"/>
    <col min="87" max="89" width="6" bestFit="1" customWidth="1"/>
    <col min="90" max="90" width="5" bestFit="1" customWidth="1"/>
    <col min="91" max="91" width="7" bestFit="1" customWidth="1"/>
    <col min="92" max="92" width="6" bestFit="1" customWidth="1"/>
    <col min="93" max="94" width="7" bestFit="1" customWidth="1"/>
    <col min="95" max="95" width="5" bestFit="1" customWidth="1"/>
    <col min="96" max="96" width="7" bestFit="1" customWidth="1"/>
    <col min="97" max="98" width="6" bestFit="1" customWidth="1"/>
    <col min="99" max="99" width="5" bestFit="1" customWidth="1"/>
    <col min="100" max="101" width="6" bestFit="1" customWidth="1"/>
    <col min="102" max="102" width="12.109375" bestFit="1" customWidth="1"/>
    <col min="103" max="103" width="6.6640625" bestFit="1" customWidth="1"/>
    <col min="104" max="104" width="7.6640625" bestFit="1" customWidth="1"/>
    <col min="105" max="106" width="8.6640625" bestFit="1" customWidth="1"/>
    <col min="107" max="107" width="6.6640625" bestFit="1" customWidth="1"/>
    <col min="108" max="108" width="8.6640625" bestFit="1" customWidth="1"/>
    <col min="109" max="109" width="6" bestFit="1" customWidth="1"/>
    <col min="110" max="112" width="8" bestFit="1" customWidth="1"/>
    <col min="113" max="113" width="6" bestFit="1" customWidth="1"/>
    <col min="114" max="116" width="7" bestFit="1" customWidth="1"/>
    <col min="117" max="117" width="6" bestFit="1" customWidth="1"/>
    <col min="118" max="118" width="7" bestFit="1" customWidth="1"/>
    <col min="119" max="119" width="6" bestFit="1" customWidth="1"/>
    <col min="120" max="123" width="7" bestFit="1" customWidth="1"/>
    <col min="124" max="126" width="8" bestFit="1" customWidth="1"/>
    <col min="127" max="127" width="7" bestFit="1" customWidth="1"/>
    <col min="128" max="128" width="8" bestFit="1" customWidth="1"/>
    <col min="129" max="129" width="7" bestFit="1" customWidth="1"/>
    <col min="130" max="131" width="8" bestFit="1" customWidth="1"/>
    <col min="132" max="133" width="7" bestFit="1" customWidth="1"/>
    <col min="134" max="135" width="8" bestFit="1" customWidth="1"/>
    <col min="136" max="136" width="9" bestFit="1" customWidth="1"/>
    <col min="137" max="137" width="8" bestFit="1" customWidth="1"/>
    <col min="138" max="139" width="7" bestFit="1" customWidth="1"/>
    <col min="140" max="140" width="8" bestFit="1" customWidth="1"/>
    <col min="141" max="142" width="7" bestFit="1" customWidth="1"/>
    <col min="143" max="144" width="9" bestFit="1" customWidth="1"/>
    <col min="145" max="146" width="8" bestFit="1" customWidth="1"/>
    <col min="147" max="147" width="9" bestFit="1" customWidth="1"/>
    <col min="148" max="149" width="7" bestFit="1" customWidth="1"/>
    <col min="150" max="150" width="8" bestFit="1" customWidth="1"/>
    <col min="151" max="151" width="7" bestFit="1" customWidth="1"/>
    <col min="152" max="153" width="8" bestFit="1" customWidth="1"/>
    <col min="154" max="154" width="7" bestFit="1" customWidth="1"/>
    <col min="155" max="155" width="8" bestFit="1" customWidth="1"/>
    <col min="156" max="156" width="6" bestFit="1" customWidth="1"/>
    <col min="157" max="157" width="8" bestFit="1" customWidth="1"/>
    <col min="158" max="159" width="9" bestFit="1" customWidth="1"/>
    <col min="160" max="160" width="6" bestFit="1" customWidth="1"/>
    <col min="161" max="162" width="8" bestFit="1" customWidth="1"/>
    <col min="163" max="163" width="6" bestFit="1" customWidth="1"/>
    <col min="164" max="167" width="8" bestFit="1" customWidth="1"/>
    <col min="168" max="169" width="7" bestFit="1" customWidth="1"/>
    <col min="170" max="170" width="8" bestFit="1" customWidth="1"/>
    <col min="171" max="171" width="7" bestFit="1" customWidth="1"/>
    <col min="172" max="172" width="6" bestFit="1" customWidth="1"/>
    <col min="173" max="174" width="8" bestFit="1" customWidth="1"/>
    <col min="175" max="175" width="6" bestFit="1" customWidth="1"/>
    <col min="176" max="176" width="9" bestFit="1" customWidth="1"/>
    <col min="177" max="177" width="8" bestFit="1" customWidth="1"/>
    <col min="178" max="178" width="7" bestFit="1" customWidth="1"/>
    <col min="179" max="180" width="9" bestFit="1" customWidth="1"/>
    <col min="181" max="182" width="8" bestFit="1" customWidth="1"/>
    <col min="183" max="183" width="6" bestFit="1" customWidth="1"/>
    <col min="184" max="184" width="7" bestFit="1" customWidth="1"/>
    <col min="185" max="186" width="8" bestFit="1" customWidth="1"/>
    <col min="187" max="187" width="9" bestFit="1" customWidth="1"/>
    <col min="188" max="190" width="8" bestFit="1" customWidth="1"/>
    <col min="191" max="191" width="9" bestFit="1" customWidth="1"/>
    <col min="192" max="192" width="8" bestFit="1" customWidth="1"/>
    <col min="193" max="194" width="9" bestFit="1" customWidth="1"/>
    <col min="195" max="195" width="7" bestFit="1" customWidth="1"/>
    <col min="196" max="196" width="9" bestFit="1" customWidth="1"/>
    <col min="197" max="197" width="7" bestFit="1" customWidth="1"/>
    <col min="198" max="198" width="8" bestFit="1" customWidth="1"/>
    <col min="199" max="199" width="6" bestFit="1" customWidth="1"/>
    <col min="200" max="200" width="8" bestFit="1" customWidth="1"/>
    <col min="201" max="201" width="9" bestFit="1" customWidth="1"/>
    <col min="202" max="202" width="16.44140625" bestFit="1" customWidth="1"/>
    <col min="203" max="206" width="4.109375" bestFit="1" customWidth="1"/>
    <col min="207" max="222" width="3.44140625" bestFit="1" customWidth="1"/>
    <col min="223" max="301" width="4.44140625" bestFit="1" customWidth="1"/>
    <col min="302" max="302" width="24.5546875" bestFit="1" customWidth="1"/>
    <col min="303" max="303" width="16.88671875" bestFit="1" customWidth="1"/>
    <col min="304" max="304" width="21.33203125" bestFit="1" customWidth="1"/>
  </cols>
  <sheetData>
    <row r="2" spans="1:5" x14ac:dyDescent="0.3">
      <c r="A2" s="21" t="s">
        <v>308</v>
      </c>
      <c r="B2" s="22"/>
      <c r="C2" s="22"/>
      <c r="D2" s="22"/>
    </row>
    <row r="3" spans="1:5" x14ac:dyDescent="0.3">
      <c r="A3" s="8" t="s">
        <v>292</v>
      </c>
      <c r="B3" t="s">
        <v>309</v>
      </c>
      <c r="C3" t="s">
        <v>310</v>
      </c>
      <c r="D3" t="s">
        <v>311</v>
      </c>
      <c r="E3" s="14" t="s">
        <v>290</v>
      </c>
    </row>
    <row r="4" spans="1:5" x14ac:dyDescent="0.3">
      <c r="A4" s="9" t="s">
        <v>307</v>
      </c>
      <c r="B4" s="10">
        <v>3395965</v>
      </c>
      <c r="C4" s="15">
        <v>759617.28999999992</v>
      </c>
      <c r="D4" s="10">
        <v>100</v>
      </c>
    </row>
    <row r="5" spans="1:5" x14ac:dyDescent="0.3">
      <c r="A5" s="11" t="s">
        <v>298</v>
      </c>
      <c r="B5" s="10">
        <v>689050</v>
      </c>
      <c r="C5" s="15">
        <v>186868.57</v>
      </c>
      <c r="D5" s="10">
        <v>18</v>
      </c>
      <c r="E5" s="5">
        <f t="shared" ref="E5:E13" si="0">C5/B5</f>
        <v>0.27119740222044847</v>
      </c>
    </row>
    <row r="6" spans="1:5" x14ac:dyDescent="0.3">
      <c r="A6" s="11" t="s">
        <v>299</v>
      </c>
      <c r="B6" s="10">
        <v>473950</v>
      </c>
      <c r="C6" s="15">
        <v>113888.62999999999</v>
      </c>
      <c r="D6" s="10">
        <v>10</v>
      </c>
      <c r="E6" s="5">
        <f t="shared" si="0"/>
        <v>0.2402967190631923</v>
      </c>
    </row>
    <row r="7" spans="1:5" x14ac:dyDescent="0.3">
      <c r="A7" s="11" t="s">
        <v>300</v>
      </c>
      <c r="B7" s="10">
        <v>90460</v>
      </c>
      <c r="C7" s="15">
        <v>23898.44</v>
      </c>
      <c r="D7" s="10">
        <v>7</v>
      </c>
      <c r="E7" s="5">
        <f t="shared" si="0"/>
        <v>0.26418792836612864</v>
      </c>
    </row>
    <row r="8" spans="1:5" x14ac:dyDescent="0.3">
      <c r="A8" s="11" t="s">
        <v>301</v>
      </c>
      <c r="B8" s="10">
        <v>285735</v>
      </c>
      <c r="C8" s="15">
        <v>88945.87999999999</v>
      </c>
      <c r="D8" s="10">
        <v>10</v>
      </c>
      <c r="E8" s="5">
        <f t="shared" si="0"/>
        <v>0.31128801161915759</v>
      </c>
    </row>
    <row r="9" spans="1:5" x14ac:dyDescent="0.3">
      <c r="A9" s="11" t="s">
        <v>302</v>
      </c>
      <c r="B9" s="10">
        <v>699620</v>
      </c>
      <c r="C9" s="15">
        <v>71127.490000000005</v>
      </c>
      <c r="D9" s="10">
        <v>15</v>
      </c>
      <c r="E9" s="5">
        <f t="shared" si="0"/>
        <v>0.10166589005460108</v>
      </c>
    </row>
    <row r="10" spans="1:5" x14ac:dyDescent="0.3">
      <c r="A10" s="11" t="s">
        <v>303</v>
      </c>
      <c r="B10" s="10">
        <v>222960</v>
      </c>
      <c r="C10" s="15">
        <v>55806.919999999991</v>
      </c>
      <c r="D10" s="10">
        <v>8</v>
      </c>
      <c r="E10" s="5">
        <f t="shared" si="0"/>
        <v>0.25030014352350194</v>
      </c>
    </row>
    <row r="11" spans="1:5" x14ac:dyDescent="0.3">
      <c r="A11" s="11" t="s">
        <v>304</v>
      </c>
      <c r="B11" s="10">
        <v>516080</v>
      </c>
      <c r="C11" s="15">
        <v>155668.15</v>
      </c>
      <c r="D11" s="10">
        <v>10</v>
      </c>
      <c r="E11" s="5">
        <f t="shared" si="0"/>
        <v>0.3016356960161215</v>
      </c>
    </row>
    <row r="12" spans="1:5" x14ac:dyDescent="0.3">
      <c r="A12" s="11" t="s">
        <v>305</v>
      </c>
      <c r="B12" s="10">
        <v>202190</v>
      </c>
      <c r="C12" s="15">
        <v>50046.119999999995</v>
      </c>
      <c r="D12" s="10">
        <v>13</v>
      </c>
      <c r="E12" s="5">
        <f t="shared" si="0"/>
        <v>0.24752025322716253</v>
      </c>
    </row>
    <row r="13" spans="1:5" x14ac:dyDescent="0.3">
      <c r="A13" s="11" t="s">
        <v>306</v>
      </c>
      <c r="B13" s="10">
        <v>215920</v>
      </c>
      <c r="C13" s="15">
        <v>13367.089999999995</v>
      </c>
      <c r="D13" s="10">
        <v>9</v>
      </c>
      <c r="E13" s="5">
        <f t="shared" si="0"/>
        <v>6.1907604668395677E-2</v>
      </c>
    </row>
    <row r="14" spans="1:5" x14ac:dyDescent="0.3">
      <c r="A14" s="9" t="s">
        <v>293</v>
      </c>
      <c r="B14" s="10">
        <v>3395965</v>
      </c>
      <c r="C14" s="15">
        <v>759617.28999999992</v>
      </c>
      <c r="D14" s="10">
        <v>100</v>
      </c>
      <c r="E14" s="13">
        <f>SUM(E5:E13)</f>
        <v>2.0499996487587095</v>
      </c>
    </row>
  </sheetData>
  <mergeCells count="1">
    <mergeCell ref="A2:D2"/>
  </mergeCells>
  <conditionalFormatting pivot="1" sqref="B5:B13">
    <cfRule type="top10" dxfId="7" priority="3" rank="1"/>
  </conditionalFormatting>
  <conditionalFormatting pivot="1" sqref="C5:C13">
    <cfRule type="top10" dxfId="6" priority="2" bottom="1" rank="1"/>
  </conditionalFormatting>
  <conditionalFormatting sqref="E5:E13">
    <cfRule type="top10" dxfId="5" priority="1" bottom="1" rank="1"/>
  </conditionalFormatting>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EA2D7-8278-476E-A4A6-8DFCCA820565}">
  <dimension ref="A3:F14"/>
  <sheetViews>
    <sheetView workbookViewId="0">
      <selection activeCell="B20" sqref="B20"/>
    </sheetView>
  </sheetViews>
  <sheetFormatPr defaultRowHeight="14.4" x14ac:dyDescent="0.3"/>
  <cols>
    <col min="1" max="1" width="14" bestFit="1" customWidth="1"/>
    <col min="2" max="2" width="19.77734375" bestFit="1" customWidth="1"/>
    <col min="3" max="3" width="11.109375" bestFit="1" customWidth="1"/>
    <col min="4" max="4" width="12.109375" bestFit="1" customWidth="1"/>
    <col min="5" max="5" width="18.6640625" customWidth="1"/>
    <col min="6" max="6" width="12.109375" style="12" customWidth="1"/>
  </cols>
  <sheetData>
    <row r="3" spans="1:6" x14ac:dyDescent="0.3">
      <c r="A3" s="8" t="s">
        <v>292</v>
      </c>
      <c r="B3" t="s">
        <v>294</v>
      </c>
      <c r="C3" t="s">
        <v>295</v>
      </c>
      <c r="D3" t="s">
        <v>296</v>
      </c>
      <c r="E3" t="s">
        <v>297</v>
      </c>
      <c r="F3" s="14" t="s">
        <v>290</v>
      </c>
    </row>
    <row r="4" spans="1:6" x14ac:dyDescent="0.3">
      <c r="A4" s="9" t="s">
        <v>75</v>
      </c>
      <c r="B4" s="10">
        <v>79860</v>
      </c>
      <c r="C4" s="10">
        <v>62198.860000000008</v>
      </c>
      <c r="D4" s="10">
        <v>17661.139999999996</v>
      </c>
      <c r="E4" s="10">
        <v>12</v>
      </c>
      <c r="F4" s="16">
        <f>IFERROR(D4/B4,0)</f>
        <v>0.22115126471324814</v>
      </c>
    </row>
    <row r="5" spans="1:6" x14ac:dyDescent="0.3">
      <c r="A5" s="9" t="s">
        <v>92</v>
      </c>
      <c r="B5" s="10">
        <v>30510</v>
      </c>
      <c r="C5" s="10">
        <v>25064.840000000004</v>
      </c>
      <c r="D5" s="10">
        <v>5445.1599999999989</v>
      </c>
      <c r="E5" s="10">
        <v>7</v>
      </c>
      <c r="F5" s="16">
        <f t="shared" ref="F5:F13" si="0">IFERROR(D5/B5,0)</f>
        <v>0.17847132087840048</v>
      </c>
    </row>
    <row r="6" spans="1:6" x14ac:dyDescent="0.3">
      <c r="A6" s="9" t="s">
        <v>40</v>
      </c>
      <c r="B6" s="10">
        <v>193800</v>
      </c>
      <c r="C6" s="10">
        <v>172134.05</v>
      </c>
      <c r="D6" s="10">
        <v>21665.949999999997</v>
      </c>
      <c r="E6" s="10">
        <v>5</v>
      </c>
      <c r="F6" s="16">
        <f t="shared" si="0"/>
        <v>0.1117954076367389</v>
      </c>
    </row>
    <row r="7" spans="1:6" x14ac:dyDescent="0.3">
      <c r="A7" s="9" t="s">
        <v>36</v>
      </c>
      <c r="B7" s="10">
        <v>86275</v>
      </c>
      <c r="C7" s="10">
        <v>68278.09</v>
      </c>
      <c r="D7" s="10">
        <v>17996.91</v>
      </c>
      <c r="E7" s="10">
        <v>9</v>
      </c>
      <c r="F7" s="16">
        <f t="shared" si="0"/>
        <v>0.20859936250362213</v>
      </c>
    </row>
    <row r="8" spans="1:6" x14ac:dyDescent="0.3">
      <c r="A8" s="9" t="s">
        <v>46</v>
      </c>
      <c r="B8" s="10">
        <v>83125</v>
      </c>
      <c r="C8" s="10">
        <v>66949.17</v>
      </c>
      <c r="D8" s="10">
        <v>16175.83</v>
      </c>
      <c r="E8" s="10">
        <v>11</v>
      </c>
      <c r="F8" s="16">
        <f t="shared" si="0"/>
        <v>0.19459645112781954</v>
      </c>
    </row>
    <row r="9" spans="1:6" x14ac:dyDescent="0.3">
      <c r="A9" s="9" t="s">
        <v>18</v>
      </c>
      <c r="B9" s="10">
        <v>1699750</v>
      </c>
      <c r="C9" s="10">
        <v>1297418.78</v>
      </c>
      <c r="D9" s="10">
        <v>402331.22</v>
      </c>
      <c r="E9" s="10">
        <v>11</v>
      </c>
      <c r="F9" s="16">
        <f t="shared" si="0"/>
        <v>0.23670023238711574</v>
      </c>
    </row>
    <row r="10" spans="1:6" x14ac:dyDescent="0.3">
      <c r="A10" s="9" t="s">
        <v>53</v>
      </c>
      <c r="B10" s="10">
        <v>219600</v>
      </c>
      <c r="C10" s="10">
        <v>186727.90000000002</v>
      </c>
      <c r="D10" s="10">
        <v>32872.100000000006</v>
      </c>
      <c r="E10" s="10">
        <v>8</v>
      </c>
      <c r="F10" s="16">
        <f t="shared" si="0"/>
        <v>0.14969080145719493</v>
      </c>
    </row>
    <row r="11" spans="1:6" x14ac:dyDescent="0.3">
      <c r="A11" s="9" t="s">
        <v>66</v>
      </c>
      <c r="B11" s="10">
        <v>112725</v>
      </c>
      <c r="C11" s="10">
        <v>93354.6</v>
      </c>
      <c r="D11" s="10">
        <v>19370.400000000001</v>
      </c>
      <c r="E11" s="10">
        <v>11</v>
      </c>
      <c r="F11" s="16">
        <f t="shared" si="0"/>
        <v>0.17183765801729875</v>
      </c>
    </row>
    <row r="12" spans="1:6" x14ac:dyDescent="0.3">
      <c r="A12" s="9" t="s">
        <v>96</v>
      </c>
      <c r="B12" s="10">
        <v>855400</v>
      </c>
      <c r="C12" s="10">
        <v>636937.07999999996</v>
      </c>
      <c r="D12" s="10">
        <v>218462.91999999998</v>
      </c>
      <c r="E12" s="10">
        <v>12</v>
      </c>
      <c r="F12" s="16">
        <f t="shared" si="0"/>
        <v>0.25539270516717322</v>
      </c>
    </row>
    <row r="13" spans="1:6" x14ac:dyDescent="0.3">
      <c r="A13" s="9" t="s">
        <v>28</v>
      </c>
      <c r="B13" s="10">
        <v>34920</v>
      </c>
      <c r="C13" s="10">
        <v>27284.339999999997</v>
      </c>
      <c r="D13" s="10">
        <v>7635.6599999999989</v>
      </c>
      <c r="E13" s="10">
        <v>14</v>
      </c>
      <c r="F13" s="16">
        <f t="shared" si="0"/>
        <v>0.21866151202749137</v>
      </c>
    </row>
    <row r="14" spans="1:6" x14ac:dyDescent="0.3">
      <c r="A14" s="9" t="s">
        <v>293</v>
      </c>
      <c r="B14" s="10">
        <v>3395965</v>
      </c>
      <c r="C14" s="10">
        <v>2636347.7099999995</v>
      </c>
      <c r="D14" s="10">
        <v>759617.29000000015</v>
      </c>
      <c r="E14" s="10">
        <v>100</v>
      </c>
      <c r="F14" s="17">
        <f>SUM(F4:F13)</f>
        <v>1.946896715916103</v>
      </c>
    </row>
  </sheetData>
  <conditionalFormatting pivot="1" sqref="D4:D13">
    <cfRule type="top10" dxfId="4" priority="3" rank="1"/>
  </conditionalFormatting>
  <conditionalFormatting pivot="1" sqref="D4:D13">
    <cfRule type="top10" dxfId="3" priority="2" bottom="1" rank="1"/>
  </conditionalFormatting>
  <conditionalFormatting sqref="F4:F13">
    <cfRule type="top10" dxfId="2" priority="1" bottom="1" rank="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518B2-7F32-42DA-B05E-0BEAEDC3F449}">
  <dimension ref="A3:E11"/>
  <sheetViews>
    <sheetView workbookViewId="0">
      <selection activeCell="A3" sqref="A3:D11"/>
    </sheetView>
  </sheetViews>
  <sheetFormatPr defaultRowHeight="14.4" x14ac:dyDescent="0.3"/>
  <cols>
    <col min="1" max="1" width="12.5546875" bestFit="1" customWidth="1"/>
    <col min="2" max="2" width="19.77734375" bestFit="1" customWidth="1"/>
    <col min="3" max="3" width="12.109375" bestFit="1" customWidth="1"/>
    <col min="4" max="4" width="16.44140625" bestFit="1" customWidth="1"/>
  </cols>
  <sheetData>
    <row r="3" spans="1:5" x14ac:dyDescent="0.3">
      <c r="A3" s="8" t="s">
        <v>292</v>
      </c>
      <c r="B3" t="s">
        <v>294</v>
      </c>
      <c r="C3" t="s">
        <v>296</v>
      </c>
      <c r="D3" t="s">
        <v>297</v>
      </c>
    </row>
    <row r="4" spans="1:5" x14ac:dyDescent="0.3">
      <c r="A4" s="18">
        <v>0</v>
      </c>
      <c r="B4" s="10">
        <v>590300</v>
      </c>
      <c r="C4" s="10">
        <v>196846.95</v>
      </c>
      <c r="D4" s="10">
        <v>14</v>
      </c>
      <c r="E4" s="5">
        <f>IFERROR(C4/B4,0)</f>
        <v>0.33346933762493647</v>
      </c>
    </row>
    <row r="5" spans="1:5" x14ac:dyDescent="0.3">
      <c r="A5" s="18">
        <v>0.05</v>
      </c>
      <c r="B5" s="10">
        <v>965010</v>
      </c>
      <c r="C5" s="10">
        <v>281273.05000000005</v>
      </c>
      <c r="D5" s="10">
        <v>14</v>
      </c>
      <c r="E5" s="5">
        <f t="shared" ref="E5:E10" si="0">IFERROR(C5/B5,0)</f>
        <v>0.29147164278090387</v>
      </c>
    </row>
    <row r="6" spans="1:5" x14ac:dyDescent="0.3">
      <c r="A6" s="18">
        <v>0.1</v>
      </c>
      <c r="B6" s="10">
        <v>493020</v>
      </c>
      <c r="C6" s="10">
        <v>119470.68000000001</v>
      </c>
      <c r="D6" s="10">
        <v>22</v>
      </c>
      <c r="E6" s="5">
        <f t="shared" si="0"/>
        <v>0.24232420591456738</v>
      </c>
    </row>
    <row r="7" spans="1:5" x14ac:dyDescent="0.3">
      <c r="A7" s="18">
        <v>0.15</v>
      </c>
      <c r="B7" s="10">
        <v>518585</v>
      </c>
      <c r="C7" s="10">
        <v>111249.38</v>
      </c>
      <c r="D7" s="10">
        <v>17</v>
      </c>
      <c r="E7" s="5">
        <f t="shared" si="0"/>
        <v>0.21452487056123876</v>
      </c>
    </row>
    <row r="8" spans="1:5" x14ac:dyDescent="0.3">
      <c r="A8" s="18">
        <v>0.2</v>
      </c>
      <c r="B8" s="10">
        <v>318000</v>
      </c>
      <c r="C8" s="10">
        <v>27608.42</v>
      </c>
      <c r="D8" s="10">
        <v>12</v>
      </c>
      <c r="E8" s="5">
        <f t="shared" si="0"/>
        <v>8.6818930817610052E-2</v>
      </c>
    </row>
    <row r="9" spans="1:5" x14ac:dyDescent="0.3">
      <c r="A9" s="18">
        <v>0.25</v>
      </c>
      <c r="B9" s="10">
        <v>507900</v>
      </c>
      <c r="C9" s="10">
        <v>22302.059999999998</v>
      </c>
      <c r="D9" s="10">
        <v>20</v>
      </c>
      <c r="E9" s="5">
        <f t="shared" si="0"/>
        <v>4.39103366804489E-2</v>
      </c>
    </row>
    <row r="10" spans="1:5" x14ac:dyDescent="0.3">
      <c r="A10" s="18">
        <v>0.6</v>
      </c>
      <c r="B10" s="10">
        <v>3150</v>
      </c>
      <c r="C10" s="10">
        <v>866.75</v>
      </c>
      <c r="D10" s="10">
        <v>1</v>
      </c>
      <c r="E10" s="5">
        <f t="shared" si="0"/>
        <v>0.27515873015873016</v>
      </c>
    </row>
    <row r="11" spans="1:5" x14ac:dyDescent="0.3">
      <c r="A11" s="18" t="s">
        <v>293</v>
      </c>
      <c r="B11" s="10">
        <v>3395965</v>
      </c>
      <c r="C11" s="10">
        <v>759617.28999999992</v>
      </c>
      <c r="D11" s="10">
        <v>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5BD23-1D13-4F4B-B1F2-9B29091E2754}">
  <dimension ref="A3:D8"/>
  <sheetViews>
    <sheetView workbookViewId="0">
      <selection activeCell="A3" sqref="A3:D8"/>
    </sheetView>
  </sheetViews>
  <sheetFormatPr defaultRowHeight="14.4" x14ac:dyDescent="0.3"/>
  <cols>
    <col min="1" max="1" width="12.5546875" bestFit="1" customWidth="1"/>
    <col min="2" max="2" width="19.77734375" bestFit="1" customWidth="1"/>
    <col min="3" max="3" width="12.109375" bestFit="1" customWidth="1"/>
    <col min="4" max="4" width="16.44140625" bestFit="1" customWidth="1"/>
  </cols>
  <sheetData>
    <row r="3" spans="1:4" x14ac:dyDescent="0.3">
      <c r="A3" s="8" t="s">
        <v>292</v>
      </c>
      <c r="B3" t="s">
        <v>294</v>
      </c>
      <c r="C3" t="s">
        <v>296</v>
      </c>
      <c r="D3" t="s">
        <v>297</v>
      </c>
    </row>
    <row r="4" spans="1:4" x14ac:dyDescent="0.3">
      <c r="A4" s="9" t="s">
        <v>48</v>
      </c>
      <c r="B4" s="19">
        <v>984380</v>
      </c>
      <c r="C4" s="19">
        <v>197583.28999999995</v>
      </c>
      <c r="D4" s="10">
        <v>28</v>
      </c>
    </row>
    <row r="5" spans="1:4" x14ac:dyDescent="0.3">
      <c r="A5" s="9" t="s">
        <v>20</v>
      </c>
      <c r="B5" s="19">
        <v>625470</v>
      </c>
      <c r="C5" s="19">
        <v>149546.96000000002</v>
      </c>
      <c r="D5" s="10">
        <v>19</v>
      </c>
    </row>
    <row r="6" spans="1:4" x14ac:dyDescent="0.3">
      <c r="A6" s="9" t="s">
        <v>68</v>
      </c>
      <c r="B6" s="19">
        <v>669105</v>
      </c>
      <c r="C6" s="19">
        <v>165064.54999999999</v>
      </c>
      <c r="D6" s="10">
        <v>20</v>
      </c>
    </row>
    <row r="7" spans="1:4" x14ac:dyDescent="0.3">
      <c r="A7" s="9" t="s">
        <v>29</v>
      </c>
      <c r="B7" s="19">
        <v>1117010</v>
      </c>
      <c r="C7" s="19">
        <v>247422.49</v>
      </c>
      <c r="D7" s="10">
        <v>33</v>
      </c>
    </row>
    <row r="8" spans="1:4" x14ac:dyDescent="0.3">
      <c r="A8" s="9" t="s">
        <v>293</v>
      </c>
      <c r="B8" s="19">
        <v>3395965</v>
      </c>
      <c r="C8" s="19">
        <v>759617.28999999992</v>
      </c>
      <c r="D8" s="10">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010FC-609C-42B8-AC4E-E9865921F010}">
  <dimension ref="A3:B14"/>
  <sheetViews>
    <sheetView workbookViewId="0">
      <selection activeCell="B14" sqref="B14"/>
    </sheetView>
  </sheetViews>
  <sheetFormatPr defaultRowHeight="14.4" x14ac:dyDescent="0.3"/>
  <cols>
    <col min="1" max="1" width="14" bestFit="1" customWidth="1"/>
    <col min="2" max="2" width="12.109375" bestFit="1" customWidth="1"/>
  </cols>
  <sheetData>
    <row r="3" spans="1:2" x14ac:dyDescent="0.3">
      <c r="A3" s="8" t="s">
        <v>292</v>
      </c>
      <c r="B3" t="s">
        <v>296</v>
      </c>
    </row>
    <row r="4" spans="1:2" x14ac:dyDescent="0.3">
      <c r="A4" s="9" t="s">
        <v>75</v>
      </c>
      <c r="B4" s="10">
        <v>17661.139999999996</v>
      </c>
    </row>
    <row r="5" spans="1:2" x14ac:dyDescent="0.3">
      <c r="A5" s="9" t="s">
        <v>92</v>
      </c>
      <c r="B5" s="10">
        <v>5445.1599999999989</v>
      </c>
    </row>
    <row r="6" spans="1:2" x14ac:dyDescent="0.3">
      <c r="A6" s="9" t="s">
        <v>40</v>
      </c>
      <c r="B6" s="10">
        <v>21665.949999999997</v>
      </c>
    </row>
    <row r="7" spans="1:2" x14ac:dyDescent="0.3">
      <c r="A7" s="9" t="s">
        <v>36</v>
      </c>
      <c r="B7" s="10">
        <v>17996.91</v>
      </c>
    </row>
    <row r="8" spans="1:2" x14ac:dyDescent="0.3">
      <c r="A8" s="9" t="s">
        <v>46</v>
      </c>
      <c r="B8" s="10">
        <v>16175.83</v>
      </c>
    </row>
    <row r="9" spans="1:2" x14ac:dyDescent="0.3">
      <c r="A9" s="9" t="s">
        <v>18</v>
      </c>
      <c r="B9" s="10">
        <v>402331.22</v>
      </c>
    </row>
    <row r="10" spans="1:2" x14ac:dyDescent="0.3">
      <c r="A10" s="9" t="s">
        <v>53</v>
      </c>
      <c r="B10" s="10">
        <v>32872.100000000006</v>
      </c>
    </row>
    <row r="11" spans="1:2" x14ac:dyDescent="0.3">
      <c r="A11" s="9" t="s">
        <v>66</v>
      </c>
      <c r="B11" s="10">
        <v>19370.400000000001</v>
      </c>
    </row>
    <row r="12" spans="1:2" x14ac:dyDescent="0.3">
      <c r="A12" s="9" t="s">
        <v>96</v>
      </c>
      <c r="B12" s="10">
        <v>218462.91999999998</v>
      </c>
    </row>
    <row r="13" spans="1:2" x14ac:dyDescent="0.3">
      <c r="A13" s="9" t="s">
        <v>28</v>
      </c>
      <c r="B13" s="10">
        <v>7635.6599999999989</v>
      </c>
    </row>
    <row r="14" spans="1:2" x14ac:dyDescent="0.3">
      <c r="A14" s="9" t="s">
        <v>293</v>
      </c>
      <c r="B14" s="10">
        <v>759617.28999999992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A3DEB-3A7B-41C6-B008-625D6E7FDC08}">
  <dimension ref="A1:S102"/>
  <sheetViews>
    <sheetView workbookViewId="0">
      <selection sqref="A1:P89"/>
    </sheetView>
  </sheetViews>
  <sheetFormatPr defaultRowHeight="14.4" x14ac:dyDescent="0.3"/>
  <cols>
    <col min="1" max="1" width="12.33203125" customWidth="1"/>
    <col min="2" max="2" width="12.33203125" style="4" customWidth="1"/>
    <col min="3" max="12" width="12.33203125" customWidth="1"/>
    <col min="13" max="13" width="12.33203125" style="5" customWidth="1"/>
    <col min="14" max="14" width="18.33203125" customWidth="1"/>
    <col min="15" max="16" width="12.33203125" customWidth="1"/>
    <col min="19" max="19" width="10.33203125" bestFit="1" customWidth="1"/>
  </cols>
  <sheetData>
    <row r="1" spans="1:19" x14ac:dyDescent="0.3">
      <c r="A1" s="1" t="s">
        <v>0</v>
      </c>
      <c r="B1" s="3" t="s">
        <v>1</v>
      </c>
      <c r="C1" s="1" t="s">
        <v>2</v>
      </c>
      <c r="D1" s="1" t="str">
        <f>IF(D2&lt;&gt;TRIM(D2),"Extra Space","OK")</f>
        <v>OK</v>
      </c>
      <c r="E1" s="1" t="s">
        <v>4</v>
      </c>
      <c r="F1" s="1" t="s">
        <v>5</v>
      </c>
      <c r="G1" s="1" t="s">
        <v>6</v>
      </c>
      <c r="H1" s="1" t="s">
        <v>7</v>
      </c>
      <c r="I1" s="1" t="s">
        <v>8</v>
      </c>
      <c r="J1" s="1" t="s">
        <v>9</v>
      </c>
      <c r="K1" s="1" t="s">
        <v>10</v>
      </c>
      <c r="L1" s="1" t="s">
        <v>288</v>
      </c>
      <c r="M1" s="6" t="s">
        <v>290</v>
      </c>
      <c r="N1" s="1" t="s">
        <v>11</v>
      </c>
      <c r="O1" s="1" t="s">
        <v>12</v>
      </c>
      <c r="P1" s="1" t="s">
        <v>13</v>
      </c>
    </row>
    <row r="2" spans="1:19" x14ac:dyDescent="0.3">
      <c r="A2" t="s">
        <v>14</v>
      </c>
      <c r="B2" s="2">
        <v>46080</v>
      </c>
      <c r="C2" t="s">
        <v>16</v>
      </c>
      <c r="D2" t="s">
        <v>17</v>
      </c>
      <c r="E2" t="s">
        <v>18</v>
      </c>
      <c r="F2" t="s">
        <v>19</v>
      </c>
      <c r="G2" t="s">
        <v>20</v>
      </c>
      <c r="H2" t="s">
        <v>21</v>
      </c>
      <c r="I2">
        <v>3</v>
      </c>
      <c r="J2">
        <v>185250</v>
      </c>
      <c r="K2">
        <v>119002.05</v>
      </c>
      <c r="L2">
        <f t="shared" ref="L2" si="0">J2-K2</f>
        <v>66247.95</v>
      </c>
      <c r="M2" s="5">
        <f t="shared" ref="M2:M33" si="1">IFERROR(L2/J2,0)</f>
        <v>0.35761376518218624</v>
      </c>
      <c r="N2">
        <v>0.05</v>
      </c>
      <c r="O2" t="s">
        <v>22</v>
      </c>
      <c r="P2" t="s">
        <v>23</v>
      </c>
      <c r="S2" s="2"/>
    </row>
    <row r="3" spans="1:19" x14ac:dyDescent="0.3">
      <c r="A3" t="s">
        <v>24</v>
      </c>
      <c r="B3" s="2">
        <v>46038</v>
      </c>
      <c r="C3" t="s">
        <v>26</v>
      </c>
      <c r="D3" t="s">
        <v>27</v>
      </c>
      <c r="E3" t="s">
        <v>28</v>
      </c>
      <c r="F3" t="s">
        <v>19</v>
      </c>
      <c r="G3" t="s">
        <v>29</v>
      </c>
      <c r="H3" t="s">
        <v>30</v>
      </c>
      <c r="I3">
        <v>2</v>
      </c>
      <c r="J3">
        <v>2280</v>
      </c>
      <c r="K3">
        <v>1647.47</v>
      </c>
      <c r="L3">
        <f t="shared" ref="L3:L34" si="2">J3-K3</f>
        <v>632.53</v>
      </c>
      <c r="M3" s="5">
        <f t="shared" si="1"/>
        <v>0.27742543859649121</v>
      </c>
      <c r="N3">
        <v>0.05</v>
      </c>
      <c r="O3" t="s">
        <v>22</v>
      </c>
      <c r="P3" t="s">
        <v>31</v>
      </c>
      <c r="S3" s="2"/>
    </row>
    <row r="4" spans="1:19" x14ac:dyDescent="0.3">
      <c r="A4" t="s">
        <v>32</v>
      </c>
      <c r="B4" s="2">
        <v>46026</v>
      </c>
      <c r="C4" t="s">
        <v>34</v>
      </c>
      <c r="D4" t="s">
        <v>35</v>
      </c>
      <c r="E4" t="s">
        <v>36</v>
      </c>
      <c r="F4" t="s">
        <v>19</v>
      </c>
      <c r="G4" t="s">
        <v>20</v>
      </c>
      <c r="H4" t="s">
        <v>30</v>
      </c>
      <c r="I4">
        <v>4</v>
      </c>
      <c r="J4">
        <v>12600</v>
      </c>
      <c r="K4">
        <v>8750.35</v>
      </c>
      <c r="L4">
        <f t="shared" si="2"/>
        <v>3849.6499999999996</v>
      </c>
      <c r="M4" s="5">
        <f t="shared" si="1"/>
        <v>0.30552777777777773</v>
      </c>
      <c r="N4">
        <v>0.1</v>
      </c>
      <c r="O4" t="s">
        <v>22</v>
      </c>
      <c r="P4" t="s">
        <v>23</v>
      </c>
      <c r="S4" s="2"/>
    </row>
    <row r="5" spans="1:19" x14ac:dyDescent="0.3">
      <c r="A5" t="s">
        <v>37</v>
      </c>
      <c r="B5" s="2">
        <v>46206</v>
      </c>
      <c r="C5" t="s">
        <v>16</v>
      </c>
      <c r="D5" t="s">
        <v>39</v>
      </c>
      <c r="E5" t="s">
        <v>40</v>
      </c>
      <c r="F5" t="s">
        <v>41</v>
      </c>
      <c r="G5" t="s">
        <v>20</v>
      </c>
      <c r="H5" t="s">
        <v>42</v>
      </c>
      <c r="I5">
        <v>5</v>
      </c>
      <c r="J5">
        <v>54000</v>
      </c>
      <c r="K5">
        <v>46075.48</v>
      </c>
      <c r="L5">
        <f t="shared" si="2"/>
        <v>7924.5199999999968</v>
      </c>
      <c r="M5" s="5">
        <f t="shared" si="1"/>
        <v>0.14675037037037031</v>
      </c>
      <c r="N5">
        <v>0.1</v>
      </c>
      <c r="O5" t="s">
        <v>22</v>
      </c>
      <c r="P5" t="s">
        <v>31</v>
      </c>
      <c r="S5" s="2"/>
    </row>
    <row r="6" spans="1:19" x14ac:dyDescent="0.3">
      <c r="A6" t="s">
        <v>43</v>
      </c>
      <c r="B6" s="2">
        <v>46208</v>
      </c>
      <c r="C6" t="s">
        <v>45</v>
      </c>
      <c r="D6" t="s">
        <v>27</v>
      </c>
      <c r="E6" t="s">
        <v>46</v>
      </c>
      <c r="F6" t="s">
        <v>47</v>
      </c>
      <c r="G6" t="s">
        <v>48</v>
      </c>
      <c r="H6" t="s">
        <v>30</v>
      </c>
      <c r="I6">
        <v>2</v>
      </c>
      <c r="J6">
        <v>3750</v>
      </c>
      <c r="K6">
        <v>2843.9</v>
      </c>
      <c r="L6">
        <f t="shared" si="2"/>
        <v>906.09999999999991</v>
      </c>
      <c r="M6" s="5">
        <f t="shared" si="1"/>
        <v>0.24162666666666666</v>
      </c>
      <c r="N6">
        <v>0.25</v>
      </c>
      <c r="O6" t="s">
        <v>22</v>
      </c>
      <c r="P6" t="s">
        <v>23</v>
      </c>
      <c r="S6" s="2"/>
    </row>
    <row r="7" spans="1:19" x14ac:dyDescent="0.3">
      <c r="A7" t="s">
        <v>55</v>
      </c>
      <c r="B7" s="2">
        <v>46059</v>
      </c>
      <c r="C7" t="s">
        <v>51</v>
      </c>
      <c r="D7" t="s">
        <v>39</v>
      </c>
      <c r="E7" t="s">
        <v>46</v>
      </c>
      <c r="F7" t="s">
        <v>47</v>
      </c>
      <c r="G7" t="s">
        <v>29</v>
      </c>
      <c r="H7" t="s">
        <v>42</v>
      </c>
      <c r="I7">
        <v>2</v>
      </c>
      <c r="J7">
        <v>4000</v>
      </c>
      <c r="K7">
        <v>3734.32</v>
      </c>
      <c r="L7">
        <f t="shared" si="2"/>
        <v>265.67999999999984</v>
      </c>
      <c r="M7" s="5">
        <f t="shared" si="1"/>
        <v>6.6419999999999965E-2</v>
      </c>
      <c r="N7">
        <v>0.2</v>
      </c>
      <c r="O7" t="s">
        <v>22</v>
      </c>
      <c r="P7" t="s">
        <v>57</v>
      </c>
      <c r="S7" s="2"/>
    </row>
    <row r="8" spans="1:19" x14ac:dyDescent="0.3">
      <c r="A8" t="s">
        <v>58</v>
      </c>
      <c r="B8" s="2">
        <v>46189</v>
      </c>
      <c r="C8" t="s">
        <v>60</v>
      </c>
      <c r="D8" t="s">
        <v>61</v>
      </c>
      <c r="E8" t="s">
        <v>18</v>
      </c>
      <c r="F8" t="s">
        <v>19</v>
      </c>
      <c r="G8" t="s">
        <v>20</v>
      </c>
      <c r="H8" t="s">
        <v>30</v>
      </c>
      <c r="I8">
        <v>2</v>
      </c>
      <c r="J8">
        <v>130000</v>
      </c>
      <c r="K8">
        <v>99757.11</v>
      </c>
      <c r="L8">
        <f t="shared" si="2"/>
        <v>30242.89</v>
      </c>
      <c r="M8" s="5">
        <f t="shared" si="1"/>
        <v>0.23263761538461539</v>
      </c>
      <c r="N8">
        <v>0</v>
      </c>
      <c r="O8" t="s">
        <v>22</v>
      </c>
      <c r="P8" t="s">
        <v>31</v>
      </c>
      <c r="S8" s="2"/>
    </row>
    <row r="9" spans="1:19" x14ac:dyDescent="0.3">
      <c r="A9" t="s">
        <v>62</v>
      </c>
      <c r="B9" s="2">
        <v>46131</v>
      </c>
      <c r="C9" t="s">
        <v>64</v>
      </c>
      <c r="D9" t="s">
        <v>65</v>
      </c>
      <c r="E9" t="s">
        <v>66</v>
      </c>
      <c r="F9" t="s">
        <v>67</v>
      </c>
      <c r="G9" t="s">
        <v>68</v>
      </c>
      <c r="H9" t="s">
        <v>21</v>
      </c>
      <c r="I9">
        <v>4</v>
      </c>
      <c r="J9">
        <v>13500</v>
      </c>
      <c r="K9">
        <v>12130.02</v>
      </c>
      <c r="L9">
        <f t="shared" si="2"/>
        <v>1369.9799999999996</v>
      </c>
      <c r="M9" s="5">
        <f t="shared" si="1"/>
        <v>0.10147999999999997</v>
      </c>
      <c r="N9">
        <v>0.25</v>
      </c>
      <c r="O9" t="s">
        <v>22</v>
      </c>
      <c r="P9" t="s">
        <v>31</v>
      </c>
      <c r="S9" s="2"/>
    </row>
    <row r="10" spans="1:19" x14ac:dyDescent="0.3">
      <c r="A10" t="s">
        <v>69</v>
      </c>
      <c r="B10" s="2">
        <v>46242</v>
      </c>
      <c r="C10" t="s">
        <v>71</v>
      </c>
      <c r="D10" t="s">
        <v>39</v>
      </c>
      <c r="E10" t="s">
        <v>46</v>
      </c>
      <c r="F10" t="s">
        <v>47</v>
      </c>
      <c r="G10" t="s">
        <v>20</v>
      </c>
      <c r="H10" t="s">
        <v>30</v>
      </c>
      <c r="I10">
        <v>4</v>
      </c>
      <c r="J10">
        <v>9000</v>
      </c>
      <c r="K10">
        <v>6092.17</v>
      </c>
      <c r="L10">
        <f t="shared" si="2"/>
        <v>2907.83</v>
      </c>
      <c r="M10" s="5">
        <f t="shared" si="1"/>
        <v>0.32309222222222223</v>
      </c>
      <c r="N10">
        <v>0.1</v>
      </c>
      <c r="O10" t="s">
        <v>22</v>
      </c>
      <c r="P10" t="s">
        <v>57</v>
      </c>
      <c r="S10" s="2"/>
    </row>
    <row r="11" spans="1:19" x14ac:dyDescent="0.3">
      <c r="A11" t="s">
        <v>72</v>
      </c>
      <c r="B11" s="2">
        <v>46104</v>
      </c>
      <c r="C11" t="s">
        <v>74</v>
      </c>
      <c r="D11" t="s">
        <v>39</v>
      </c>
      <c r="E11" t="s">
        <v>75</v>
      </c>
      <c r="F11" t="s">
        <v>76</v>
      </c>
      <c r="G11" t="s">
        <v>48</v>
      </c>
      <c r="H11" t="s">
        <v>21</v>
      </c>
      <c r="I11">
        <v>5</v>
      </c>
      <c r="J11">
        <v>11000</v>
      </c>
      <c r="K11">
        <v>7192.76</v>
      </c>
      <c r="L11">
        <f t="shared" si="2"/>
        <v>3807.24</v>
      </c>
      <c r="M11" s="5">
        <f t="shared" si="1"/>
        <v>0.34611272727272724</v>
      </c>
      <c r="N11">
        <v>0</v>
      </c>
      <c r="O11" t="s">
        <v>22</v>
      </c>
      <c r="P11" t="s">
        <v>23</v>
      </c>
      <c r="S11" s="2"/>
    </row>
    <row r="12" spans="1:19" x14ac:dyDescent="0.3">
      <c r="A12" t="s">
        <v>77</v>
      </c>
      <c r="B12" s="2">
        <v>46159</v>
      </c>
      <c r="C12" t="s">
        <v>79</v>
      </c>
      <c r="D12" t="s">
        <v>80</v>
      </c>
      <c r="E12" t="s">
        <v>40</v>
      </c>
      <c r="F12" t="s">
        <v>41</v>
      </c>
      <c r="G12" t="s">
        <v>48</v>
      </c>
      <c r="H12" t="s">
        <v>21</v>
      </c>
      <c r="I12">
        <v>1</v>
      </c>
      <c r="J12">
        <v>10800</v>
      </c>
      <c r="K12">
        <v>8008.64</v>
      </c>
      <c r="L12">
        <f t="shared" si="2"/>
        <v>2791.3599999999997</v>
      </c>
      <c r="M12" s="5">
        <f t="shared" si="1"/>
        <v>0.25845925925925922</v>
      </c>
      <c r="N12">
        <v>0.1</v>
      </c>
      <c r="O12" t="s">
        <v>81</v>
      </c>
      <c r="P12" t="s">
        <v>57</v>
      </c>
      <c r="S12" s="2"/>
    </row>
    <row r="13" spans="1:19" x14ac:dyDescent="0.3">
      <c r="A13" t="s">
        <v>82</v>
      </c>
      <c r="B13" s="2">
        <v>46282</v>
      </c>
      <c r="C13" t="s">
        <v>34</v>
      </c>
      <c r="D13" t="s">
        <v>65</v>
      </c>
      <c r="E13" t="s">
        <v>28</v>
      </c>
      <c r="F13" t="s">
        <v>84</v>
      </c>
      <c r="G13" t="s">
        <v>48</v>
      </c>
      <c r="H13" t="s">
        <v>30</v>
      </c>
      <c r="I13">
        <v>3</v>
      </c>
      <c r="J13">
        <v>2700</v>
      </c>
      <c r="K13">
        <v>2473.4499999999998</v>
      </c>
      <c r="L13">
        <f t="shared" si="2"/>
        <v>226.55000000000018</v>
      </c>
      <c r="M13" s="5">
        <f t="shared" si="1"/>
        <v>8.3907407407407472E-2</v>
      </c>
      <c r="N13">
        <v>0.25</v>
      </c>
      <c r="O13" t="s">
        <v>22</v>
      </c>
      <c r="P13" t="s">
        <v>23</v>
      </c>
      <c r="S13" s="2"/>
    </row>
    <row r="14" spans="1:19" x14ac:dyDescent="0.3">
      <c r="A14" t="s">
        <v>85</v>
      </c>
      <c r="B14" s="2">
        <v>46188</v>
      </c>
      <c r="C14" t="s">
        <v>87</v>
      </c>
      <c r="D14" t="s">
        <v>61</v>
      </c>
      <c r="E14" t="s">
        <v>66</v>
      </c>
      <c r="F14" t="s">
        <v>67</v>
      </c>
      <c r="G14" t="s">
        <v>68</v>
      </c>
      <c r="H14" t="s">
        <v>30</v>
      </c>
      <c r="I14">
        <v>1</v>
      </c>
      <c r="J14">
        <v>4500</v>
      </c>
      <c r="K14">
        <v>3603.85</v>
      </c>
      <c r="L14">
        <f t="shared" si="2"/>
        <v>896.15000000000009</v>
      </c>
      <c r="M14" s="5">
        <f t="shared" si="1"/>
        <v>0.19914444444444446</v>
      </c>
      <c r="N14">
        <v>0</v>
      </c>
      <c r="O14" t="s">
        <v>22</v>
      </c>
      <c r="P14" t="s">
        <v>23</v>
      </c>
      <c r="S14" s="2"/>
    </row>
    <row r="15" spans="1:19" x14ac:dyDescent="0.3">
      <c r="A15" t="s">
        <v>88</v>
      </c>
      <c r="B15" s="2">
        <v>46066</v>
      </c>
      <c r="C15" t="s">
        <v>71</v>
      </c>
      <c r="D15" t="s">
        <v>39</v>
      </c>
      <c r="E15" t="s">
        <v>66</v>
      </c>
      <c r="F15" t="s">
        <v>67</v>
      </c>
      <c r="G15" t="s">
        <v>68</v>
      </c>
      <c r="H15" t="s">
        <v>42</v>
      </c>
      <c r="I15">
        <v>1</v>
      </c>
      <c r="J15">
        <v>3600</v>
      </c>
      <c r="K15">
        <v>3405.49</v>
      </c>
      <c r="L15">
        <f t="shared" si="2"/>
        <v>194.51000000000022</v>
      </c>
      <c r="M15" s="5">
        <f t="shared" si="1"/>
        <v>5.4030555555555616E-2</v>
      </c>
      <c r="N15">
        <v>0.2</v>
      </c>
      <c r="O15" t="s">
        <v>22</v>
      </c>
      <c r="P15" t="s">
        <v>90</v>
      </c>
      <c r="S15" s="2"/>
    </row>
    <row r="16" spans="1:19" x14ac:dyDescent="0.3">
      <c r="A16" t="s">
        <v>91</v>
      </c>
      <c r="B16" s="2">
        <v>46131</v>
      </c>
      <c r="C16" t="s">
        <v>45</v>
      </c>
      <c r="D16" t="s">
        <v>35</v>
      </c>
      <c r="E16" t="s">
        <v>92</v>
      </c>
      <c r="F16" t="s">
        <v>47</v>
      </c>
      <c r="G16" t="s">
        <v>29</v>
      </c>
      <c r="H16" t="s">
        <v>21</v>
      </c>
      <c r="I16">
        <v>2</v>
      </c>
      <c r="J16">
        <v>2700</v>
      </c>
      <c r="K16">
        <v>2282.9899999999998</v>
      </c>
      <c r="L16">
        <f t="shared" si="2"/>
        <v>417.01000000000022</v>
      </c>
      <c r="M16" s="5">
        <f t="shared" si="1"/>
        <v>0.15444814814814822</v>
      </c>
      <c r="N16">
        <v>0.25</v>
      </c>
      <c r="O16" t="s">
        <v>22</v>
      </c>
      <c r="P16" t="s">
        <v>23</v>
      </c>
      <c r="S16" s="2"/>
    </row>
    <row r="17" spans="1:19" x14ac:dyDescent="0.3">
      <c r="A17" t="s">
        <v>93</v>
      </c>
      <c r="B17" s="2">
        <v>46149</v>
      </c>
      <c r="C17" t="s">
        <v>95</v>
      </c>
      <c r="D17" t="s">
        <v>27</v>
      </c>
      <c r="E17" t="s">
        <v>96</v>
      </c>
      <c r="F17" t="s">
        <v>19</v>
      </c>
      <c r="G17" t="s">
        <v>68</v>
      </c>
      <c r="H17" t="s">
        <v>30</v>
      </c>
      <c r="I17">
        <v>1</v>
      </c>
      <c r="J17">
        <v>25200</v>
      </c>
      <c r="K17">
        <v>15559.02</v>
      </c>
      <c r="L17">
        <f t="shared" si="2"/>
        <v>9640.98</v>
      </c>
      <c r="M17" s="5">
        <f t="shared" si="1"/>
        <v>0.38257857142857143</v>
      </c>
      <c r="N17">
        <v>0.1</v>
      </c>
      <c r="O17" t="s">
        <v>22</v>
      </c>
      <c r="P17" t="s">
        <v>23</v>
      </c>
      <c r="S17" s="2"/>
    </row>
    <row r="18" spans="1:19" x14ac:dyDescent="0.3">
      <c r="A18" t="s">
        <v>97</v>
      </c>
      <c r="B18" s="2">
        <v>46140</v>
      </c>
      <c r="C18" t="s">
        <v>99</v>
      </c>
      <c r="D18" t="s">
        <v>61</v>
      </c>
      <c r="E18" t="s">
        <v>28</v>
      </c>
      <c r="F18" t="s">
        <v>19</v>
      </c>
      <c r="G18" t="s">
        <v>29</v>
      </c>
      <c r="H18" t="s">
        <v>30</v>
      </c>
      <c r="I18">
        <v>1</v>
      </c>
      <c r="J18">
        <v>1080</v>
      </c>
      <c r="K18">
        <v>682.96</v>
      </c>
      <c r="L18">
        <f t="shared" si="2"/>
        <v>397.03999999999996</v>
      </c>
      <c r="M18" s="5">
        <f t="shared" si="1"/>
        <v>0.36762962962962958</v>
      </c>
      <c r="N18">
        <v>0.1</v>
      </c>
      <c r="O18" t="s">
        <v>22</v>
      </c>
      <c r="P18" t="s">
        <v>57</v>
      </c>
      <c r="S18" s="2"/>
    </row>
    <row r="19" spans="1:19" x14ac:dyDescent="0.3">
      <c r="A19" t="s">
        <v>100</v>
      </c>
      <c r="B19" s="2">
        <v>46265</v>
      </c>
      <c r="C19" t="s">
        <v>102</v>
      </c>
      <c r="D19" t="s">
        <v>103</v>
      </c>
      <c r="E19" t="s">
        <v>96</v>
      </c>
      <c r="F19" t="s">
        <v>19</v>
      </c>
      <c r="G19" t="s">
        <v>48</v>
      </c>
      <c r="H19" t="s">
        <v>42</v>
      </c>
      <c r="I19">
        <v>4</v>
      </c>
      <c r="J19">
        <v>95200</v>
      </c>
      <c r="K19">
        <v>67358</v>
      </c>
      <c r="L19">
        <f t="shared" si="2"/>
        <v>27842</v>
      </c>
      <c r="M19" s="5">
        <f t="shared" si="1"/>
        <v>0.29245798319327732</v>
      </c>
      <c r="N19">
        <v>0.15</v>
      </c>
      <c r="O19" t="s">
        <v>22</v>
      </c>
      <c r="P19" t="s">
        <v>90</v>
      </c>
      <c r="S19" s="2"/>
    </row>
    <row r="20" spans="1:19" x14ac:dyDescent="0.3">
      <c r="A20" t="s">
        <v>104</v>
      </c>
      <c r="B20" s="2">
        <v>46050</v>
      </c>
      <c r="C20" t="s">
        <v>106</v>
      </c>
      <c r="D20" t="s">
        <v>17</v>
      </c>
      <c r="E20" t="s">
        <v>28</v>
      </c>
      <c r="F20" t="s">
        <v>19</v>
      </c>
      <c r="G20" t="s">
        <v>68</v>
      </c>
      <c r="H20" t="s">
        <v>30</v>
      </c>
      <c r="I20">
        <v>1</v>
      </c>
      <c r="J20">
        <v>1020</v>
      </c>
      <c r="K20">
        <v>895.94</v>
      </c>
      <c r="L20">
        <f t="shared" si="2"/>
        <v>124.05999999999995</v>
      </c>
      <c r="M20" s="5">
        <f t="shared" si="1"/>
        <v>0.1216274509803921</v>
      </c>
      <c r="N20">
        <v>0.15</v>
      </c>
      <c r="O20" t="s">
        <v>22</v>
      </c>
      <c r="P20" t="s">
        <v>90</v>
      </c>
      <c r="S20" s="2"/>
    </row>
    <row r="21" spans="1:19" x14ac:dyDescent="0.3">
      <c r="A21" t="s">
        <v>107</v>
      </c>
      <c r="B21" s="2">
        <v>46094</v>
      </c>
      <c r="C21" t="s">
        <v>109</v>
      </c>
      <c r="D21" t="s">
        <v>17</v>
      </c>
      <c r="E21" t="s">
        <v>75</v>
      </c>
      <c r="F21" t="s">
        <v>110</v>
      </c>
      <c r="G21" t="s">
        <v>29</v>
      </c>
      <c r="H21" t="s">
        <v>21</v>
      </c>
      <c r="I21">
        <v>2</v>
      </c>
      <c r="J21">
        <v>3960</v>
      </c>
      <c r="K21">
        <v>2969.6</v>
      </c>
      <c r="L21">
        <f t="shared" si="2"/>
        <v>990.40000000000009</v>
      </c>
      <c r="M21" s="5">
        <f t="shared" si="1"/>
        <v>0.2501010101010101</v>
      </c>
      <c r="N21">
        <v>0.1</v>
      </c>
      <c r="O21" t="s">
        <v>22</v>
      </c>
      <c r="P21" t="s">
        <v>23</v>
      </c>
      <c r="S21" s="2"/>
    </row>
    <row r="22" spans="1:19" x14ac:dyDescent="0.3">
      <c r="A22" t="s">
        <v>111</v>
      </c>
      <c r="B22" s="2">
        <v>46030</v>
      </c>
      <c r="C22" t="s">
        <v>113</v>
      </c>
      <c r="D22" t="s">
        <v>27</v>
      </c>
      <c r="E22" t="s">
        <v>28</v>
      </c>
      <c r="F22" t="s">
        <v>19</v>
      </c>
      <c r="G22" t="s">
        <v>29</v>
      </c>
      <c r="H22" t="s">
        <v>30</v>
      </c>
      <c r="I22">
        <v>2</v>
      </c>
      <c r="J22">
        <v>2280</v>
      </c>
      <c r="K22">
        <v>1583.36</v>
      </c>
      <c r="L22">
        <f t="shared" si="2"/>
        <v>696.6400000000001</v>
      </c>
      <c r="M22" s="5">
        <f t="shared" si="1"/>
        <v>0.30554385964912284</v>
      </c>
      <c r="N22">
        <v>0.05</v>
      </c>
      <c r="O22" t="s">
        <v>22</v>
      </c>
      <c r="P22" t="s">
        <v>90</v>
      </c>
      <c r="S22" s="2"/>
    </row>
    <row r="23" spans="1:19" x14ac:dyDescent="0.3">
      <c r="A23" t="s">
        <v>114</v>
      </c>
      <c r="B23" s="2">
        <v>46024</v>
      </c>
      <c r="C23" t="s">
        <v>116</v>
      </c>
      <c r="D23" t="s">
        <v>39</v>
      </c>
      <c r="E23" t="s">
        <v>75</v>
      </c>
      <c r="F23" t="s">
        <v>76</v>
      </c>
      <c r="G23" t="s">
        <v>68</v>
      </c>
      <c r="H23" t="s">
        <v>30</v>
      </c>
      <c r="I23">
        <v>3</v>
      </c>
      <c r="J23">
        <v>5610</v>
      </c>
      <c r="K23">
        <v>4138.3100000000004</v>
      </c>
      <c r="L23">
        <f t="shared" si="2"/>
        <v>1471.6899999999996</v>
      </c>
      <c r="M23" s="5">
        <f t="shared" si="1"/>
        <v>0.26233333333333325</v>
      </c>
      <c r="N23">
        <v>0.15</v>
      </c>
      <c r="O23" t="s">
        <v>22</v>
      </c>
      <c r="P23" t="s">
        <v>57</v>
      </c>
      <c r="S23" s="2"/>
    </row>
    <row r="24" spans="1:19" x14ac:dyDescent="0.3">
      <c r="A24" t="s">
        <v>117</v>
      </c>
      <c r="B24" s="2">
        <v>46052</v>
      </c>
      <c r="C24" t="s">
        <v>119</v>
      </c>
      <c r="D24" t="s">
        <v>80</v>
      </c>
      <c r="E24" t="s">
        <v>46</v>
      </c>
      <c r="F24" t="s">
        <v>47</v>
      </c>
      <c r="G24" t="s">
        <v>29</v>
      </c>
      <c r="H24" t="s">
        <v>21</v>
      </c>
      <c r="I24">
        <v>5</v>
      </c>
      <c r="J24">
        <v>12500</v>
      </c>
      <c r="K24">
        <v>9399.42</v>
      </c>
      <c r="L24">
        <f t="shared" si="2"/>
        <v>3100.58</v>
      </c>
      <c r="M24" s="5">
        <f t="shared" si="1"/>
        <v>0.2480464</v>
      </c>
      <c r="N24">
        <v>0</v>
      </c>
      <c r="O24" t="s">
        <v>22</v>
      </c>
      <c r="P24" t="s">
        <v>57</v>
      </c>
      <c r="S24" s="2"/>
    </row>
    <row r="25" spans="1:19" x14ac:dyDescent="0.3">
      <c r="A25" t="s">
        <v>120</v>
      </c>
      <c r="B25" s="2">
        <v>46052</v>
      </c>
      <c r="C25" t="s">
        <v>121</v>
      </c>
      <c r="D25" t="s">
        <v>27</v>
      </c>
      <c r="E25" t="s">
        <v>92</v>
      </c>
      <c r="F25" t="s">
        <v>47</v>
      </c>
      <c r="G25" t="s">
        <v>29</v>
      </c>
      <c r="H25" t="s">
        <v>30</v>
      </c>
      <c r="I25">
        <v>1</v>
      </c>
      <c r="J25">
        <v>1710</v>
      </c>
      <c r="K25">
        <v>1023.3</v>
      </c>
      <c r="L25">
        <f t="shared" si="2"/>
        <v>686.7</v>
      </c>
      <c r="M25" s="5">
        <f t="shared" si="1"/>
        <v>0.40157894736842109</v>
      </c>
      <c r="N25">
        <v>0.05</v>
      </c>
      <c r="O25" t="s">
        <v>22</v>
      </c>
      <c r="P25" t="s">
        <v>57</v>
      </c>
      <c r="S25" s="2"/>
    </row>
    <row r="26" spans="1:19" x14ac:dyDescent="0.3">
      <c r="A26" t="s">
        <v>125</v>
      </c>
      <c r="B26" s="2">
        <v>46145</v>
      </c>
      <c r="C26" t="s">
        <v>127</v>
      </c>
      <c r="D26" t="s">
        <v>39</v>
      </c>
      <c r="E26" t="s">
        <v>53</v>
      </c>
      <c r="F26" t="s">
        <v>41</v>
      </c>
      <c r="G26" t="s">
        <v>48</v>
      </c>
      <c r="H26" t="s">
        <v>30</v>
      </c>
      <c r="I26">
        <v>4</v>
      </c>
      <c r="J26">
        <v>34200</v>
      </c>
      <c r="K26">
        <v>26328.83</v>
      </c>
      <c r="L26">
        <f t="shared" si="2"/>
        <v>7871.1699999999983</v>
      </c>
      <c r="M26" s="5">
        <f t="shared" si="1"/>
        <v>0.23015116959064322</v>
      </c>
      <c r="N26">
        <v>0.05</v>
      </c>
      <c r="O26" t="s">
        <v>22</v>
      </c>
      <c r="P26" t="s">
        <v>90</v>
      </c>
      <c r="S26" s="2"/>
    </row>
    <row r="27" spans="1:19" x14ac:dyDescent="0.3">
      <c r="A27" t="s">
        <v>128</v>
      </c>
      <c r="B27" s="2">
        <v>46074</v>
      </c>
      <c r="C27" t="s">
        <v>71</v>
      </c>
      <c r="D27" t="s">
        <v>35</v>
      </c>
      <c r="E27" t="s">
        <v>28</v>
      </c>
      <c r="F27" t="s">
        <v>19</v>
      </c>
      <c r="G27" t="s">
        <v>20</v>
      </c>
      <c r="H27" t="s">
        <v>30</v>
      </c>
      <c r="I27">
        <v>5</v>
      </c>
      <c r="J27">
        <v>5700</v>
      </c>
      <c r="K27">
        <v>4119.53</v>
      </c>
      <c r="L27">
        <f t="shared" si="2"/>
        <v>1580.4700000000003</v>
      </c>
      <c r="M27" s="5">
        <f t="shared" si="1"/>
        <v>0.27727543859649129</v>
      </c>
      <c r="N27">
        <v>0.05</v>
      </c>
      <c r="O27" t="s">
        <v>22</v>
      </c>
      <c r="P27" t="s">
        <v>31</v>
      </c>
      <c r="S27" s="2"/>
    </row>
    <row r="28" spans="1:19" x14ac:dyDescent="0.3">
      <c r="A28" t="s">
        <v>130</v>
      </c>
      <c r="B28" s="2">
        <v>46127</v>
      </c>
      <c r="C28" t="s">
        <v>106</v>
      </c>
      <c r="D28" t="s">
        <v>80</v>
      </c>
      <c r="E28" t="s">
        <v>66</v>
      </c>
      <c r="F28" t="s">
        <v>67</v>
      </c>
      <c r="G28" t="s">
        <v>48</v>
      </c>
      <c r="H28" t="s">
        <v>21</v>
      </c>
      <c r="I28">
        <v>5</v>
      </c>
      <c r="J28">
        <v>16875</v>
      </c>
      <c r="K28">
        <v>14212.79</v>
      </c>
      <c r="L28">
        <f t="shared" si="2"/>
        <v>2662.2099999999991</v>
      </c>
      <c r="M28" s="5">
        <f t="shared" si="1"/>
        <v>0.15776059259259254</v>
      </c>
      <c r="N28">
        <v>0.25</v>
      </c>
      <c r="O28" t="s">
        <v>22</v>
      </c>
      <c r="P28" t="s">
        <v>57</v>
      </c>
      <c r="S28" s="2"/>
    </row>
    <row r="29" spans="1:19" x14ac:dyDescent="0.3">
      <c r="A29" t="s">
        <v>132</v>
      </c>
      <c r="B29" s="2">
        <v>46158</v>
      </c>
      <c r="C29" t="s">
        <v>64</v>
      </c>
      <c r="D29" t="s">
        <v>61</v>
      </c>
      <c r="E29" t="s">
        <v>28</v>
      </c>
      <c r="F29" t="s">
        <v>19</v>
      </c>
      <c r="G29" t="s">
        <v>68</v>
      </c>
      <c r="H29" t="s">
        <v>21</v>
      </c>
      <c r="I29">
        <v>1</v>
      </c>
      <c r="J29">
        <v>900</v>
      </c>
      <c r="K29">
        <v>839.24</v>
      </c>
      <c r="L29">
        <f t="shared" si="2"/>
        <v>60.759999999999991</v>
      </c>
      <c r="M29" s="5">
        <f t="shared" si="1"/>
        <v>6.7511111111111105E-2</v>
      </c>
      <c r="N29">
        <v>0.25</v>
      </c>
      <c r="O29" t="s">
        <v>22</v>
      </c>
      <c r="P29" t="s">
        <v>57</v>
      </c>
      <c r="S29" s="2"/>
    </row>
    <row r="30" spans="1:19" x14ac:dyDescent="0.3">
      <c r="A30" t="s">
        <v>134</v>
      </c>
      <c r="B30" s="2">
        <v>46158</v>
      </c>
      <c r="C30" t="s">
        <v>109</v>
      </c>
      <c r="D30" t="s">
        <v>80</v>
      </c>
      <c r="E30" t="s">
        <v>92</v>
      </c>
      <c r="F30" t="s">
        <v>47</v>
      </c>
      <c r="G30" t="s">
        <v>20</v>
      </c>
      <c r="H30" t="s">
        <v>21</v>
      </c>
      <c r="I30">
        <v>4</v>
      </c>
      <c r="J30">
        <v>6480</v>
      </c>
      <c r="K30">
        <v>5719.97</v>
      </c>
      <c r="L30">
        <f t="shared" si="2"/>
        <v>760.02999999999975</v>
      </c>
      <c r="M30" s="5">
        <f t="shared" si="1"/>
        <v>0.11728858024691353</v>
      </c>
      <c r="N30">
        <v>0.1</v>
      </c>
      <c r="O30" t="s">
        <v>22</v>
      </c>
      <c r="P30" t="s">
        <v>31</v>
      </c>
      <c r="S30" s="2"/>
    </row>
    <row r="31" spans="1:19" x14ac:dyDescent="0.3">
      <c r="A31" t="s">
        <v>135</v>
      </c>
      <c r="B31" s="2">
        <v>46045</v>
      </c>
      <c r="C31" t="s">
        <v>64</v>
      </c>
      <c r="D31" t="s">
        <v>65</v>
      </c>
      <c r="E31" t="s">
        <v>18</v>
      </c>
      <c r="F31" t="s">
        <v>19</v>
      </c>
      <c r="G31" t="s">
        <v>29</v>
      </c>
      <c r="H31" t="s">
        <v>21</v>
      </c>
      <c r="I31">
        <v>3</v>
      </c>
      <c r="J31">
        <v>185250</v>
      </c>
      <c r="K31">
        <v>140794.01999999999</v>
      </c>
      <c r="L31">
        <f t="shared" si="2"/>
        <v>44455.98000000001</v>
      </c>
      <c r="M31" s="5">
        <f t="shared" si="1"/>
        <v>0.23997829959514175</v>
      </c>
      <c r="N31">
        <v>0.05</v>
      </c>
      <c r="O31" t="s">
        <v>81</v>
      </c>
      <c r="P31" t="s">
        <v>90</v>
      </c>
      <c r="S31" s="2"/>
    </row>
    <row r="32" spans="1:19" x14ac:dyDescent="0.3">
      <c r="A32" t="s">
        <v>137</v>
      </c>
      <c r="B32" s="2">
        <v>46027</v>
      </c>
      <c r="C32" t="s">
        <v>95</v>
      </c>
      <c r="D32" t="s">
        <v>80</v>
      </c>
      <c r="E32" t="s">
        <v>28</v>
      </c>
      <c r="F32" t="s">
        <v>19</v>
      </c>
      <c r="G32" t="s">
        <v>48</v>
      </c>
      <c r="H32" t="s">
        <v>21</v>
      </c>
      <c r="I32">
        <v>1</v>
      </c>
      <c r="J32">
        <v>900</v>
      </c>
      <c r="K32">
        <v>952.87</v>
      </c>
      <c r="L32">
        <f t="shared" si="2"/>
        <v>-52.870000000000005</v>
      </c>
      <c r="M32" s="5">
        <f t="shared" si="1"/>
        <v>-5.8744444444444446E-2</v>
      </c>
      <c r="N32">
        <v>0.25</v>
      </c>
      <c r="O32" t="s">
        <v>22</v>
      </c>
      <c r="P32" t="s">
        <v>57</v>
      </c>
      <c r="S32" s="2"/>
    </row>
    <row r="33" spans="1:19" x14ac:dyDescent="0.3">
      <c r="A33" t="s">
        <v>142</v>
      </c>
      <c r="B33" s="2">
        <v>46075</v>
      </c>
      <c r="C33" t="s">
        <v>16</v>
      </c>
      <c r="D33" t="s">
        <v>65</v>
      </c>
      <c r="E33" t="s">
        <v>40</v>
      </c>
      <c r="F33" t="s">
        <v>41</v>
      </c>
      <c r="G33" t="s">
        <v>68</v>
      </c>
      <c r="H33" t="s">
        <v>30</v>
      </c>
      <c r="I33">
        <v>5</v>
      </c>
      <c r="J33">
        <v>51000</v>
      </c>
      <c r="K33">
        <v>48776.160000000003</v>
      </c>
      <c r="L33">
        <f t="shared" si="2"/>
        <v>2223.8399999999965</v>
      </c>
      <c r="M33" s="5">
        <f t="shared" si="1"/>
        <v>4.3604705882352872E-2</v>
      </c>
      <c r="N33">
        <v>0.15</v>
      </c>
      <c r="O33" t="s">
        <v>22</v>
      </c>
      <c r="P33" t="s">
        <v>90</v>
      </c>
      <c r="S33" s="2"/>
    </row>
    <row r="34" spans="1:19" x14ac:dyDescent="0.3">
      <c r="A34" t="s">
        <v>146</v>
      </c>
      <c r="B34" s="2">
        <v>46218</v>
      </c>
      <c r="C34" t="s">
        <v>141</v>
      </c>
      <c r="D34" t="s">
        <v>39</v>
      </c>
      <c r="E34" t="s">
        <v>18</v>
      </c>
      <c r="F34" t="s">
        <v>19</v>
      </c>
      <c r="G34" t="s">
        <v>48</v>
      </c>
      <c r="H34" t="s">
        <v>42</v>
      </c>
      <c r="J34">
        <v>247000</v>
      </c>
      <c r="K34">
        <v>157010.01</v>
      </c>
      <c r="L34">
        <f t="shared" si="2"/>
        <v>89989.989999999991</v>
      </c>
      <c r="M34" s="5">
        <f t="shared" ref="M34:M65" si="3">IFERROR(L34/J34,0)</f>
        <v>0.36433194331983804</v>
      </c>
      <c r="N34">
        <v>0.05</v>
      </c>
      <c r="O34" t="s">
        <v>22</v>
      </c>
      <c r="P34" t="s">
        <v>57</v>
      </c>
      <c r="S34" s="2"/>
    </row>
    <row r="35" spans="1:19" x14ac:dyDescent="0.3">
      <c r="A35" t="s">
        <v>148</v>
      </c>
      <c r="B35" s="2">
        <v>46035</v>
      </c>
      <c r="C35" t="s">
        <v>121</v>
      </c>
      <c r="D35" t="s">
        <v>61</v>
      </c>
      <c r="E35" t="s">
        <v>96</v>
      </c>
      <c r="F35" t="s">
        <v>19</v>
      </c>
      <c r="G35" t="s">
        <v>48</v>
      </c>
      <c r="H35" t="s">
        <v>21</v>
      </c>
      <c r="I35">
        <v>4</v>
      </c>
      <c r="J35">
        <v>100800</v>
      </c>
      <c r="K35">
        <v>70024.960000000006</v>
      </c>
      <c r="L35">
        <f t="shared" ref="L35:L66" si="4">J35-K35</f>
        <v>30775.039999999994</v>
      </c>
      <c r="M35" s="5">
        <f t="shared" si="3"/>
        <v>0.30530793650793642</v>
      </c>
      <c r="N35">
        <v>0.1</v>
      </c>
      <c r="O35" t="s">
        <v>22</v>
      </c>
      <c r="P35" t="s">
        <v>90</v>
      </c>
      <c r="S35" s="2"/>
    </row>
    <row r="36" spans="1:19" x14ac:dyDescent="0.3">
      <c r="A36" t="s">
        <v>149</v>
      </c>
      <c r="B36" s="2">
        <v>46192</v>
      </c>
      <c r="C36" t="s">
        <v>64</v>
      </c>
      <c r="D36" t="s">
        <v>80</v>
      </c>
      <c r="E36" t="s">
        <v>18</v>
      </c>
      <c r="F36" t="s">
        <v>19</v>
      </c>
      <c r="G36" t="s">
        <v>20</v>
      </c>
      <c r="H36" t="s">
        <v>21</v>
      </c>
      <c r="I36">
        <v>1</v>
      </c>
      <c r="J36">
        <v>58500</v>
      </c>
      <c r="K36">
        <v>38883.870000000003</v>
      </c>
      <c r="L36">
        <f t="shared" si="4"/>
        <v>19616.129999999997</v>
      </c>
      <c r="M36" s="5">
        <f t="shared" si="3"/>
        <v>0.33531846153846151</v>
      </c>
      <c r="N36">
        <v>0.1</v>
      </c>
      <c r="O36" t="s">
        <v>22</v>
      </c>
      <c r="P36" t="s">
        <v>31</v>
      </c>
      <c r="S36" s="2"/>
    </row>
    <row r="37" spans="1:19" x14ac:dyDescent="0.3">
      <c r="A37" t="s">
        <v>151</v>
      </c>
      <c r="B37" s="2">
        <v>46183</v>
      </c>
      <c r="C37" t="s">
        <v>87</v>
      </c>
      <c r="D37" t="s">
        <v>27</v>
      </c>
      <c r="E37" t="s">
        <v>75</v>
      </c>
      <c r="F37" t="s">
        <v>76</v>
      </c>
      <c r="G37" t="s">
        <v>48</v>
      </c>
      <c r="H37" t="s">
        <v>30</v>
      </c>
      <c r="I37">
        <v>5</v>
      </c>
      <c r="J37">
        <v>8800</v>
      </c>
      <c r="K37">
        <v>6393.47</v>
      </c>
      <c r="L37">
        <f t="shared" si="4"/>
        <v>2406.5299999999997</v>
      </c>
      <c r="M37" s="5">
        <f t="shared" si="3"/>
        <v>0.27346931818181813</v>
      </c>
      <c r="N37">
        <v>0.2</v>
      </c>
      <c r="O37" t="s">
        <v>81</v>
      </c>
      <c r="P37" t="s">
        <v>90</v>
      </c>
      <c r="S37" s="2"/>
    </row>
    <row r="38" spans="1:19" x14ac:dyDescent="0.3">
      <c r="A38" t="s">
        <v>153</v>
      </c>
      <c r="B38" s="2">
        <v>46023</v>
      </c>
      <c r="C38" t="s">
        <v>16</v>
      </c>
      <c r="D38" t="s">
        <v>27</v>
      </c>
      <c r="E38" t="s">
        <v>92</v>
      </c>
      <c r="F38" t="s">
        <v>47</v>
      </c>
      <c r="G38" t="s">
        <v>48</v>
      </c>
      <c r="H38" t="s">
        <v>42</v>
      </c>
      <c r="I38">
        <v>5</v>
      </c>
      <c r="J38">
        <v>6750</v>
      </c>
      <c r="K38">
        <v>6698.21</v>
      </c>
      <c r="L38">
        <f t="shared" si="4"/>
        <v>51.789999999999964</v>
      </c>
      <c r="M38" s="5">
        <f t="shared" si="3"/>
        <v>7.6725925925925876E-3</v>
      </c>
      <c r="N38">
        <v>0.25</v>
      </c>
      <c r="O38" t="s">
        <v>22</v>
      </c>
      <c r="P38" t="s">
        <v>31</v>
      </c>
      <c r="S38" s="2"/>
    </row>
    <row r="39" spans="1:19" x14ac:dyDescent="0.3">
      <c r="A39" t="s">
        <v>155</v>
      </c>
      <c r="B39" s="2">
        <v>46183</v>
      </c>
      <c r="C39" t="s">
        <v>156</v>
      </c>
      <c r="D39" t="s">
        <v>35</v>
      </c>
      <c r="E39" t="s">
        <v>28</v>
      </c>
      <c r="F39" t="s">
        <v>19</v>
      </c>
      <c r="G39" t="s">
        <v>29</v>
      </c>
      <c r="H39" t="s">
        <v>21</v>
      </c>
      <c r="I39">
        <v>3</v>
      </c>
      <c r="J39">
        <v>2880</v>
      </c>
      <c r="K39">
        <v>2280.62</v>
      </c>
      <c r="L39">
        <f t="shared" si="4"/>
        <v>599.38000000000011</v>
      </c>
      <c r="M39" s="5">
        <f t="shared" si="3"/>
        <v>0.2081180555555556</v>
      </c>
      <c r="N39">
        <v>0.2</v>
      </c>
      <c r="O39" t="s">
        <v>22</v>
      </c>
      <c r="P39" t="s">
        <v>57</v>
      </c>
      <c r="S39" s="2"/>
    </row>
    <row r="40" spans="1:19" x14ac:dyDescent="0.3">
      <c r="A40" t="s">
        <v>157</v>
      </c>
      <c r="B40" s="2">
        <v>46121</v>
      </c>
      <c r="C40" t="s">
        <v>51</v>
      </c>
      <c r="D40" t="s">
        <v>61</v>
      </c>
      <c r="E40" t="s">
        <v>75</v>
      </c>
      <c r="F40" t="s">
        <v>76</v>
      </c>
      <c r="G40" t="s">
        <v>29</v>
      </c>
      <c r="H40" t="s">
        <v>21</v>
      </c>
      <c r="I40">
        <v>4</v>
      </c>
      <c r="J40">
        <v>6600</v>
      </c>
      <c r="K40">
        <v>6617.57</v>
      </c>
      <c r="L40">
        <f t="shared" si="4"/>
        <v>-17.569999999999709</v>
      </c>
      <c r="M40" s="5">
        <f t="shared" si="3"/>
        <v>-2.6621212121211682E-3</v>
      </c>
      <c r="N40">
        <v>0.25</v>
      </c>
      <c r="O40" t="s">
        <v>22</v>
      </c>
      <c r="P40" t="s">
        <v>31</v>
      </c>
      <c r="S40" s="2"/>
    </row>
    <row r="41" spans="1:19" x14ac:dyDescent="0.3">
      <c r="A41" t="s">
        <v>165</v>
      </c>
      <c r="B41" s="2">
        <v>46138</v>
      </c>
      <c r="C41" t="s">
        <v>113</v>
      </c>
      <c r="D41" t="s">
        <v>17</v>
      </c>
      <c r="E41" t="s">
        <v>96</v>
      </c>
      <c r="F41" t="s">
        <v>19</v>
      </c>
      <c r="G41" t="s">
        <v>29</v>
      </c>
      <c r="H41" t="s">
        <v>42</v>
      </c>
      <c r="I41">
        <v>2</v>
      </c>
      <c r="J41">
        <v>56000</v>
      </c>
      <c r="K41">
        <v>31498.75</v>
      </c>
      <c r="L41">
        <f t="shared" si="4"/>
        <v>24501.25</v>
      </c>
      <c r="M41" s="5">
        <f t="shared" si="3"/>
        <v>0.43752232142857145</v>
      </c>
      <c r="N41">
        <v>0</v>
      </c>
      <c r="O41" t="s">
        <v>22</v>
      </c>
      <c r="P41" t="s">
        <v>57</v>
      </c>
      <c r="S41" s="2"/>
    </row>
    <row r="42" spans="1:19" x14ac:dyDescent="0.3">
      <c r="A42" t="s">
        <v>167</v>
      </c>
      <c r="B42" s="2">
        <v>46219</v>
      </c>
      <c r="C42" t="s">
        <v>116</v>
      </c>
      <c r="D42" t="s">
        <v>80</v>
      </c>
      <c r="E42" t="s">
        <v>66</v>
      </c>
      <c r="F42" t="s">
        <v>67</v>
      </c>
      <c r="G42" t="s">
        <v>20</v>
      </c>
      <c r="H42" t="s">
        <v>42</v>
      </c>
      <c r="I42">
        <v>4</v>
      </c>
      <c r="J42">
        <v>17100</v>
      </c>
      <c r="K42">
        <v>10617.2</v>
      </c>
      <c r="L42">
        <f t="shared" si="4"/>
        <v>6482.7999999999993</v>
      </c>
      <c r="M42" s="5">
        <f t="shared" si="3"/>
        <v>0.37911111111111107</v>
      </c>
      <c r="N42">
        <v>0.05</v>
      </c>
      <c r="O42" t="s">
        <v>22</v>
      </c>
      <c r="P42" t="s">
        <v>57</v>
      </c>
      <c r="S42" s="2"/>
    </row>
    <row r="43" spans="1:19" x14ac:dyDescent="0.3">
      <c r="A43" t="s">
        <v>169</v>
      </c>
      <c r="B43" s="2">
        <v>46288</v>
      </c>
      <c r="C43" t="s">
        <v>109</v>
      </c>
      <c r="D43" t="s">
        <v>17</v>
      </c>
      <c r="E43" t="s">
        <v>66</v>
      </c>
      <c r="F43" t="s">
        <v>67</v>
      </c>
      <c r="G43" t="s">
        <v>29</v>
      </c>
      <c r="H43" t="s">
        <v>30</v>
      </c>
      <c r="I43">
        <v>1</v>
      </c>
      <c r="J43">
        <v>3600</v>
      </c>
      <c r="K43">
        <v>2777.78</v>
      </c>
      <c r="L43">
        <f t="shared" si="4"/>
        <v>822.2199999999998</v>
      </c>
      <c r="M43" s="5">
        <f t="shared" si="3"/>
        <v>0.2283944444444444</v>
      </c>
      <c r="N43">
        <v>0.2</v>
      </c>
      <c r="O43" t="s">
        <v>22</v>
      </c>
      <c r="P43" t="s">
        <v>31</v>
      </c>
      <c r="S43" s="2"/>
    </row>
    <row r="44" spans="1:19" x14ac:dyDescent="0.3">
      <c r="A44" t="s">
        <v>171</v>
      </c>
      <c r="B44" s="2">
        <v>46249</v>
      </c>
      <c r="C44" t="s">
        <v>95</v>
      </c>
      <c r="D44" t="s">
        <v>39</v>
      </c>
      <c r="E44" t="s">
        <v>46</v>
      </c>
      <c r="F44" t="s">
        <v>47</v>
      </c>
      <c r="G44" t="s">
        <v>68</v>
      </c>
      <c r="H44" t="s">
        <v>21</v>
      </c>
      <c r="I44">
        <v>5</v>
      </c>
      <c r="J44">
        <v>10625</v>
      </c>
      <c r="K44">
        <v>9678.17</v>
      </c>
      <c r="L44">
        <f t="shared" si="4"/>
        <v>946.82999999999993</v>
      </c>
      <c r="M44" s="5">
        <f t="shared" si="3"/>
        <v>8.9113411764705872E-2</v>
      </c>
      <c r="N44">
        <v>0.15</v>
      </c>
      <c r="O44" t="s">
        <v>22</v>
      </c>
      <c r="P44" t="s">
        <v>90</v>
      </c>
      <c r="S44" s="2"/>
    </row>
    <row r="45" spans="1:19" x14ac:dyDescent="0.3">
      <c r="A45" t="s">
        <v>173</v>
      </c>
      <c r="B45" s="2">
        <v>46155</v>
      </c>
      <c r="C45" t="s">
        <v>99</v>
      </c>
      <c r="D45" t="s">
        <v>61</v>
      </c>
      <c r="E45" t="s">
        <v>96</v>
      </c>
      <c r="F45" t="s">
        <v>19</v>
      </c>
      <c r="G45" t="s">
        <v>29</v>
      </c>
      <c r="H45" t="s">
        <v>30</v>
      </c>
      <c r="I45">
        <v>3</v>
      </c>
      <c r="J45">
        <v>67200</v>
      </c>
      <c r="K45">
        <v>57190.66</v>
      </c>
      <c r="L45">
        <f t="shared" si="4"/>
        <v>10009.339999999997</v>
      </c>
      <c r="M45" s="5">
        <f t="shared" si="3"/>
        <v>0.14894851190476185</v>
      </c>
      <c r="N45">
        <v>0.2</v>
      </c>
      <c r="O45" t="s">
        <v>81</v>
      </c>
      <c r="P45" t="s">
        <v>31</v>
      </c>
      <c r="S45" s="2"/>
    </row>
    <row r="46" spans="1:19" x14ac:dyDescent="0.3">
      <c r="A46" t="s">
        <v>175</v>
      </c>
      <c r="B46" s="2">
        <v>46143</v>
      </c>
      <c r="C46" t="s">
        <v>121</v>
      </c>
      <c r="D46" t="s">
        <v>65</v>
      </c>
      <c r="E46" t="s">
        <v>53</v>
      </c>
      <c r="F46" t="s">
        <v>41</v>
      </c>
      <c r="G46" t="s">
        <v>68</v>
      </c>
      <c r="H46" t="s">
        <v>30</v>
      </c>
      <c r="I46">
        <v>3</v>
      </c>
      <c r="J46">
        <v>24300</v>
      </c>
      <c r="K46">
        <v>21360.17</v>
      </c>
      <c r="L46">
        <f t="shared" si="4"/>
        <v>2939.8300000000017</v>
      </c>
      <c r="M46" s="5">
        <f t="shared" si="3"/>
        <v>0.12098065843621407</v>
      </c>
      <c r="N46">
        <v>0.1</v>
      </c>
      <c r="O46" t="s">
        <v>22</v>
      </c>
      <c r="P46" t="s">
        <v>57</v>
      </c>
      <c r="S46" s="2"/>
    </row>
    <row r="47" spans="1:19" x14ac:dyDescent="0.3">
      <c r="A47" t="s">
        <v>177</v>
      </c>
      <c r="B47" s="2">
        <v>46132</v>
      </c>
      <c r="C47" t="s">
        <v>79</v>
      </c>
      <c r="D47" t="s">
        <v>103</v>
      </c>
      <c r="E47" t="s">
        <v>28</v>
      </c>
      <c r="F47" t="s">
        <v>19</v>
      </c>
      <c r="G47" t="s">
        <v>20</v>
      </c>
      <c r="H47" t="s">
        <v>30</v>
      </c>
      <c r="I47">
        <v>4</v>
      </c>
      <c r="J47">
        <v>4080</v>
      </c>
      <c r="K47">
        <v>3068.82</v>
      </c>
      <c r="L47">
        <f t="shared" si="4"/>
        <v>1011.1799999999998</v>
      </c>
      <c r="M47" s="5">
        <f t="shared" si="3"/>
        <v>0.24783823529411761</v>
      </c>
      <c r="N47">
        <v>0.15</v>
      </c>
      <c r="O47" t="s">
        <v>22</v>
      </c>
      <c r="P47" t="s">
        <v>90</v>
      </c>
      <c r="S47" s="2"/>
    </row>
    <row r="48" spans="1:19" x14ac:dyDescent="0.3">
      <c r="A48" t="s">
        <v>179</v>
      </c>
      <c r="B48" s="2">
        <v>46033</v>
      </c>
      <c r="C48" t="s">
        <v>181</v>
      </c>
      <c r="D48" t="s">
        <v>61</v>
      </c>
      <c r="E48" t="s">
        <v>46</v>
      </c>
      <c r="F48" t="s">
        <v>47</v>
      </c>
      <c r="G48" t="s">
        <v>29</v>
      </c>
      <c r="H48" t="s">
        <v>42</v>
      </c>
      <c r="I48">
        <v>4</v>
      </c>
      <c r="J48">
        <v>8500</v>
      </c>
      <c r="K48">
        <v>5515.92</v>
      </c>
      <c r="L48">
        <f t="shared" si="4"/>
        <v>2984.08</v>
      </c>
      <c r="M48" s="5">
        <f t="shared" si="3"/>
        <v>0.35106823529411763</v>
      </c>
      <c r="N48">
        <v>0.15</v>
      </c>
      <c r="O48" t="s">
        <v>22</v>
      </c>
      <c r="P48" t="s">
        <v>57</v>
      </c>
      <c r="S48" s="2"/>
    </row>
    <row r="49" spans="1:19" x14ac:dyDescent="0.3">
      <c r="A49" t="s">
        <v>182</v>
      </c>
      <c r="B49" s="2">
        <v>46272</v>
      </c>
      <c r="C49" t="s">
        <v>60</v>
      </c>
      <c r="D49" t="s">
        <v>35</v>
      </c>
      <c r="E49" t="s">
        <v>96</v>
      </c>
      <c r="F49" t="s">
        <v>19</v>
      </c>
      <c r="G49" t="s">
        <v>29</v>
      </c>
      <c r="H49" t="s">
        <v>21</v>
      </c>
      <c r="I49">
        <v>3</v>
      </c>
      <c r="J49">
        <v>71400</v>
      </c>
      <c r="K49">
        <v>57214.36</v>
      </c>
      <c r="L49">
        <f t="shared" si="4"/>
        <v>14185.64</v>
      </c>
      <c r="M49" s="5">
        <f t="shared" si="3"/>
        <v>0.19867843137254901</v>
      </c>
      <c r="N49">
        <v>0.15</v>
      </c>
      <c r="O49" t="s">
        <v>22</v>
      </c>
      <c r="P49" t="s">
        <v>90</v>
      </c>
      <c r="S49" s="2"/>
    </row>
    <row r="50" spans="1:19" x14ac:dyDescent="0.3">
      <c r="A50" t="s">
        <v>184</v>
      </c>
      <c r="B50" s="2">
        <v>46088</v>
      </c>
      <c r="C50" t="s">
        <v>124</v>
      </c>
      <c r="D50" t="s">
        <v>80</v>
      </c>
      <c r="E50" t="s">
        <v>46</v>
      </c>
      <c r="F50" t="s">
        <v>47</v>
      </c>
      <c r="G50" t="s">
        <v>20</v>
      </c>
      <c r="H50" t="s">
        <v>21</v>
      </c>
      <c r="I50">
        <v>5</v>
      </c>
      <c r="J50">
        <v>12500</v>
      </c>
      <c r="K50">
        <v>9935.8799999999992</v>
      </c>
      <c r="L50">
        <f t="shared" si="4"/>
        <v>2564.1200000000008</v>
      </c>
      <c r="M50" s="5">
        <f t="shared" si="3"/>
        <v>0.20512960000000005</v>
      </c>
      <c r="N50">
        <v>0</v>
      </c>
      <c r="O50" t="s">
        <v>22</v>
      </c>
      <c r="P50" t="s">
        <v>57</v>
      </c>
      <c r="S50" s="2"/>
    </row>
    <row r="51" spans="1:19" x14ac:dyDescent="0.3">
      <c r="A51" t="s">
        <v>186</v>
      </c>
      <c r="B51" s="2">
        <v>46259</v>
      </c>
      <c r="C51" t="s">
        <v>34</v>
      </c>
      <c r="D51" t="s">
        <v>39</v>
      </c>
      <c r="E51" t="s">
        <v>36</v>
      </c>
      <c r="F51" t="s">
        <v>19</v>
      </c>
      <c r="G51" t="s">
        <v>48</v>
      </c>
      <c r="H51" t="s">
        <v>42</v>
      </c>
      <c r="I51">
        <v>1</v>
      </c>
      <c r="J51">
        <v>3150</v>
      </c>
      <c r="K51">
        <v>2283.25</v>
      </c>
      <c r="L51">
        <f t="shared" si="4"/>
        <v>866.75</v>
      </c>
      <c r="M51" s="5">
        <f t="shared" si="3"/>
        <v>0.27515873015873016</v>
      </c>
      <c r="N51">
        <v>0.6</v>
      </c>
      <c r="O51" t="s">
        <v>81</v>
      </c>
      <c r="P51" t="s">
        <v>90</v>
      </c>
      <c r="S51" s="2"/>
    </row>
    <row r="52" spans="1:19" x14ac:dyDescent="0.3">
      <c r="A52" t="s">
        <v>190</v>
      </c>
      <c r="B52" s="2">
        <v>46043</v>
      </c>
      <c r="C52" t="s">
        <v>74</v>
      </c>
      <c r="D52" t="s">
        <v>65</v>
      </c>
      <c r="E52" t="s">
        <v>18</v>
      </c>
      <c r="F52" t="s">
        <v>19</v>
      </c>
      <c r="G52" t="s">
        <v>68</v>
      </c>
      <c r="H52" t="s">
        <v>30</v>
      </c>
      <c r="I52">
        <v>2</v>
      </c>
      <c r="J52">
        <v>123500</v>
      </c>
      <c r="K52">
        <v>100956.93</v>
      </c>
      <c r="L52">
        <f t="shared" si="4"/>
        <v>22543.070000000007</v>
      </c>
      <c r="M52" s="5">
        <f t="shared" si="3"/>
        <v>0.18253497975708508</v>
      </c>
      <c r="N52">
        <v>0.05</v>
      </c>
      <c r="O52" t="s">
        <v>22</v>
      </c>
      <c r="P52" t="s">
        <v>23</v>
      </c>
      <c r="S52" s="2"/>
    </row>
    <row r="53" spans="1:19" x14ac:dyDescent="0.3">
      <c r="A53" t="s">
        <v>191</v>
      </c>
      <c r="B53" s="2">
        <v>46134</v>
      </c>
      <c r="C53" t="s">
        <v>74</v>
      </c>
      <c r="D53" t="s">
        <v>17</v>
      </c>
      <c r="E53" t="s">
        <v>66</v>
      </c>
      <c r="F53" t="s">
        <v>67</v>
      </c>
      <c r="G53" t="s">
        <v>68</v>
      </c>
      <c r="H53" t="s">
        <v>42</v>
      </c>
      <c r="I53">
        <v>3</v>
      </c>
      <c r="J53">
        <v>12150</v>
      </c>
      <c r="K53">
        <v>8036.59</v>
      </c>
      <c r="L53">
        <f t="shared" si="4"/>
        <v>4113.41</v>
      </c>
      <c r="M53" s="5">
        <f t="shared" si="3"/>
        <v>0.33855226337448557</v>
      </c>
      <c r="N53">
        <v>0.1</v>
      </c>
      <c r="O53" t="s">
        <v>22</v>
      </c>
      <c r="P53" t="s">
        <v>23</v>
      </c>
      <c r="S53" s="2"/>
    </row>
    <row r="54" spans="1:19" x14ac:dyDescent="0.3">
      <c r="A54" t="s">
        <v>197</v>
      </c>
      <c r="B54" s="2">
        <v>46029</v>
      </c>
      <c r="C54" t="s">
        <v>181</v>
      </c>
      <c r="D54" t="s">
        <v>39</v>
      </c>
      <c r="E54" t="s">
        <v>75</v>
      </c>
      <c r="F54" t="s">
        <v>76</v>
      </c>
      <c r="G54" t="s">
        <v>68</v>
      </c>
      <c r="H54" t="s">
        <v>42</v>
      </c>
      <c r="I54">
        <v>4</v>
      </c>
      <c r="J54">
        <v>8800</v>
      </c>
      <c r="K54">
        <v>5870.05</v>
      </c>
      <c r="L54">
        <f t="shared" si="4"/>
        <v>2929.95</v>
      </c>
      <c r="M54" s="5">
        <f t="shared" si="3"/>
        <v>0.33294886363636361</v>
      </c>
      <c r="N54">
        <v>0</v>
      </c>
      <c r="O54" t="s">
        <v>22</v>
      </c>
      <c r="P54" t="s">
        <v>31</v>
      </c>
      <c r="S54" s="2"/>
    </row>
    <row r="55" spans="1:19" x14ac:dyDescent="0.3">
      <c r="A55" t="s">
        <v>199</v>
      </c>
      <c r="B55" s="2">
        <v>46270</v>
      </c>
      <c r="C55" t="s">
        <v>161</v>
      </c>
      <c r="D55" t="s">
        <v>27</v>
      </c>
      <c r="E55" t="s">
        <v>66</v>
      </c>
      <c r="F55" t="s">
        <v>67</v>
      </c>
      <c r="G55" t="s">
        <v>20</v>
      </c>
      <c r="H55" t="s">
        <v>42</v>
      </c>
      <c r="I55">
        <v>4</v>
      </c>
      <c r="J55">
        <v>13500</v>
      </c>
      <c r="K55">
        <v>12779.43</v>
      </c>
      <c r="L55">
        <f t="shared" si="4"/>
        <v>720.56999999999971</v>
      </c>
      <c r="M55" s="5">
        <f t="shared" si="3"/>
        <v>5.3375555555555537E-2</v>
      </c>
      <c r="N55">
        <v>0.25</v>
      </c>
      <c r="O55" t="s">
        <v>22</v>
      </c>
      <c r="P55" t="s">
        <v>57</v>
      </c>
      <c r="S55" s="2"/>
    </row>
    <row r="56" spans="1:19" x14ac:dyDescent="0.3">
      <c r="A56" t="s">
        <v>201</v>
      </c>
      <c r="B56" s="2">
        <v>46260</v>
      </c>
      <c r="C56" t="s">
        <v>26</v>
      </c>
      <c r="D56" t="s">
        <v>39</v>
      </c>
      <c r="E56" t="s">
        <v>46</v>
      </c>
      <c r="F56" t="s">
        <v>47</v>
      </c>
      <c r="G56" t="s">
        <v>48</v>
      </c>
      <c r="H56" t="s">
        <v>30</v>
      </c>
      <c r="I56">
        <v>5</v>
      </c>
      <c r="J56">
        <v>9375</v>
      </c>
      <c r="K56">
        <v>8154.09</v>
      </c>
      <c r="L56">
        <f t="shared" si="4"/>
        <v>1220.9099999999999</v>
      </c>
      <c r="M56" s="5">
        <f t="shared" si="3"/>
        <v>0.1302304</v>
      </c>
      <c r="N56">
        <v>0.25</v>
      </c>
      <c r="O56" t="s">
        <v>22</v>
      </c>
      <c r="P56" t="s">
        <v>57</v>
      </c>
      <c r="S56" s="2"/>
    </row>
    <row r="57" spans="1:19" x14ac:dyDescent="0.3">
      <c r="A57" t="s">
        <v>203</v>
      </c>
      <c r="B57" s="2">
        <v>46204</v>
      </c>
      <c r="C57" t="s">
        <v>116</v>
      </c>
      <c r="D57" t="s">
        <v>61</v>
      </c>
      <c r="E57" t="s">
        <v>53</v>
      </c>
      <c r="F57" t="s">
        <v>41</v>
      </c>
      <c r="G57" t="s">
        <v>20</v>
      </c>
      <c r="H57" t="s">
        <v>21</v>
      </c>
      <c r="I57">
        <v>3</v>
      </c>
      <c r="J57">
        <v>24300</v>
      </c>
      <c r="K57">
        <v>21267.53</v>
      </c>
      <c r="L57">
        <f t="shared" si="4"/>
        <v>3032.4700000000012</v>
      </c>
      <c r="M57" s="5">
        <f t="shared" si="3"/>
        <v>0.12479300411522638</v>
      </c>
      <c r="N57">
        <v>0.1</v>
      </c>
      <c r="O57" t="s">
        <v>22</v>
      </c>
      <c r="P57" t="s">
        <v>23</v>
      </c>
      <c r="S57" s="2"/>
    </row>
    <row r="58" spans="1:19" x14ac:dyDescent="0.3">
      <c r="A58" t="s">
        <v>205</v>
      </c>
      <c r="B58" s="2">
        <v>46146</v>
      </c>
      <c r="C58" t="s">
        <v>116</v>
      </c>
      <c r="D58" t="s">
        <v>39</v>
      </c>
      <c r="E58" t="s">
        <v>75</v>
      </c>
      <c r="F58" t="s">
        <v>76</v>
      </c>
      <c r="G58" t="s">
        <v>29</v>
      </c>
      <c r="H58" t="s">
        <v>42</v>
      </c>
      <c r="I58">
        <v>4</v>
      </c>
      <c r="J58">
        <v>7040</v>
      </c>
      <c r="K58">
        <v>6641.4</v>
      </c>
      <c r="L58">
        <f t="shared" si="4"/>
        <v>398.60000000000036</v>
      </c>
      <c r="M58" s="5">
        <f t="shared" si="3"/>
        <v>5.6619318181818236E-2</v>
      </c>
      <c r="N58">
        <v>0.2</v>
      </c>
      <c r="O58" t="s">
        <v>22</v>
      </c>
      <c r="P58" t="s">
        <v>23</v>
      </c>
      <c r="S58" s="2"/>
    </row>
    <row r="59" spans="1:19" x14ac:dyDescent="0.3">
      <c r="A59" t="s">
        <v>207</v>
      </c>
      <c r="B59" s="2">
        <v>46173</v>
      </c>
      <c r="C59" t="s">
        <v>45</v>
      </c>
      <c r="D59" t="s">
        <v>35</v>
      </c>
      <c r="E59" t="s">
        <v>96</v>
      </c>
      <c r="F59" t="s">
        <v>19</v>
      </c>
      <c r="G59" t="s">
        <v>29</v>
      </c>
      <c r="H59" t="s">
        <v>21</v>
      </c>
      <c r="I59">
        <v>4</v>
      </c>
      <c r="J59">
        <v>84000</v>
      </c>
      <c r="K59">
        <v>68957.55</v>
      </c>
      <c r="L59">
        <f t="shared" si="4"/>
        <v>15042.449999999997</v>
      </c>
      <c r="M59" s="5">
        <f t="shared" si="3"/>
        <v>0.17907678571428567</v>
      </c>
      <c r="N59">
        <v>0.25</v>
      </c>
      <c r="O59" t="s">
        <v>22</v>
      </c>
      <c r="P59" t="s">
        <v>31</v>
      </c>
      <c r="S59" s="2"/>
    </row>
    <row r="60" spans="1:19" x14ac:dyDescent="0.3">
      <c r="A60" t="s">
        <v>209</v>
      </c>
      <c r="B60" s="2">
        <v>46240</v>
      </c>
      <c r="C60" t="s">
        <v>64</v>
      </c>
      <c r="D60" t="s">
        <v>61</v>
      </c>
      <c r="E60" t="s">
        <v>92</v>
      </c>
      <c r="F60" t="s">
        <v>47</v>
      </c>
      <c r="G60" t="s">
        <v>48</v>
      </c>
      <c r="H60" t="s">
        <v>30</v>
      </c>
      <c r="I60">
        <v>3</v>
      </c>
      <c r="J60">
        <v>4860</v>
      </c>
      <c r="K60">
        <v>3994.76</v>
      </c>
      <c r="L60">
        <f t="shared" si="4"/>
        <v>865.23999999999978</v>
      </c>
      <c r="M60" s="5">
        <f t="shared" si="3"/>
        <v>0.17803292181069955</v>
      </c>
      <c r="N60">
        <v>0.1</v>
      </c>
      <c r="O60" t="s">
        <v>22</v>
      </c>
      <c r="P60" t="s">
        <v>57</v>
      </c>
      <c r="S60" s="2"/>
    </row>
    <row r="61" spans="1:19" x14ac:dyDescent="0.3">
      <c r="A61" t="s">
        <v>211</v>
      </c>
      <c r="B61" s="2">
        <v>46184</v>
      </c>
      <c r="C61" t="s">
        <v>34</v>
      </c>
      <c r="D61" t="s">
        <v>39</v>
      </c>
      <c r="E61" t="s">
        <v>28</v>
      </c>
      <c r="F61" t="s">
        <v>19</v>
      </c>
      <c r="G61" t="s">
        <v>48</v>
      </c>
      <c r="H61" t="s">
        <v>21</v>
      </c>
      <c r="I61">
        <v>5</v>
      </c>
      <c r="J61">
        <v>4500</v>
      </c>
      <c r="K61">
        <v>3599.94</v>
      </c>
      <c r="L61">
        <f t="shared" si="4"/>
        <v>900.06</v>
      </c>
      <c r="M61" s="5">
        <f t="shared" si="3"/>
        <v>0.20001333333333332</v>
      </c>
      <c r="N61">
        <v>0.25</v>
      </c>
      <c r="O61" t="s">
        <v>22</v>
      </c>
      <c r="P61" t="s">
        <v>31</v>
      </c>
      <c r="S61" s="2"/>
    </row>
    <row r="62" spans="1:19" x14ac:dyDescent="0.3">
      <c r="A62" t="s">
        <v>213</v>
      </c>
      <c r="B62" s="2">
        <v>46074</v>
      </c>
      <c r="C62" t="s">
        <v>127</v>
      </c>
      <c r="D62" t="s">
        <v>80</v>
      </c>
      <c r="E62" t="s">
        <v>96</v>
      </c>
      <c r="F62" t="s">
        <v>19</v>
      </c>
      <c r="G62" t="s">
        <v>68</v>
      </c>
      <c r="H62" t="s">
        <v>42</v>
      </c>
      <c r="I62">
        <v>3</v>
      </c>
      <c r="J62">
        <v>79800</v>
      </c>
      <c r="K62">
        <v>54384.78</v>
      </c>
      <c r="L62">
        <f t="shared" si="4"/>
        <v>25415.22</v>
      </c>
      <c r="M62" s="5">
        <f t="shared" si="3"/>
        <v>0.31848646616541354</v>
      </c>
      <c r="N62">
        <v>0.05</v>
      </c>
      <c r="O62" t="s">
        <v>22</v>
      </c>
      <c r="P62" t="s">
        <v>23</v>
      </c>
      <c r="S62" s="2"/>
    </row>
    <row r="63" spans="1:19" x14ac:dyDescent="0.3">
      <c r="A63" t="s">
        <v>214</v>
      </c>
      <c r="B63" s="2">
        <v>46172</v>
      </c>
      <c r="C63" t="s">
        <v>124</v>
      </c>
      <c r="D63" t="s">
        <v>61</v>
      </c>
      <c r="E63" t="s">
        <v>36</v>
      </c>
      <c r="F63" t="s">
        <v>19</v>
      </c>
      <c r="G63" t="s">
        <v>29</v>
      </c>
      <c r="H63" t="s">
        <v>42</v>
      </c>
      <c r="I63">
        <v>4</v>
      </c>
      <c r="J63">
        <v>14000</v>
      </c>
      <c r="K63">
        <v>10998.88</v>
      </c>
      <c r="L63">
        <f t="shared" si="4"/>
        <v>3001.1200000000008</v>
      </c>
      <c r="M63" s="5">
        <f t="shared" si="3"/>
        <v>0.21436571428571435</v>
      </c>
      <c r="N63">
        <v>0</v>
      </c>
      <c r="O63" t="s">
        <v>22</v>
      </c>
      <c r="P63" t="s">
        <v>31</v>
      </c>
      <c r="S63" s="2"/>
    </row>
    <row r="64" spans="1:19" x14ac:dyDescent="0.3">
      <c r="A64" t="s">
        <v>216</v>
      </c>
      <c r="B64" s="2">
        <v>46117</v>
      </c>
      <c r="C64" t="s">
        <v>121</v>
      </c>
      <c r="D64" t="s">
        <v>103</v>
      </c>
      <c r="E64" t="s">
        <v>18</v>
      </c>
      <c r="F64" t="s">
        <v>19</v>
      </c>
      <c r="G64" t="s">
        <v>29</v>
      </c>
      <c r="H64" t="s">
        <v>30</v>
      </c>
      <c r="I64">
        <v>3</v>
      </c>
      <c r="J64">
        <v>165750</v>
      </c>
      <c r="K64">
        <v>113256.69</v>
      </c>
      <c r="L64">
        <f t="shared" si="4"/>
        <v>52493.31</v>
      </c>
      <c r="M64" s="5">
        <f t="shared" si="3"/>
        <v>0.31670171945701359</v>
      </c>
      <c r="N64">
        <v>0.15</v>
      </c>
      <c r="O64" t="s">
        <v>22</v>
      </c>
      <c r="P64" t="s">
        <v>23</v>
      </c>
      <c r="S64" s="2"/>
    </row>
    <row r="65" spans="1:19" x14ac:dyDescent="0.3">
      <c r="A65" t="s">
        <v>218</v>
      </c>
      <c r="B65" s="2">
        <v>46100</v>
      </c>
      <c r="C65" t="s">
        <v>99</v>
      </c>
      <c r="D65" t="s">
        <v>17</v>
      </c>
      <c r="E65" t="s">
        <v>36</v>
      </c>
      <c r="F65" t="s">
        <v>19</v>
      </c>
      <c r="G65" t="s">
        <v>29</v>
      </c>
      <c r="H65" t="s">
        <v>21</v>
      </c>
      <c r="I65">
        <v>5</v>
      </c>
      <c r="J65">
        <v>15750</v>
      </c>
      <c r="K65">
        <v>10027.48</v>
      </c>
      <c r="L65">
        <f t="shared" si="4"/>
        <v>5722.52</v>
      </c>
      <c r="M65" s="5">
        <f t="shared" si="3"/>
        <v>0.3633346031746032</v>
      </c>
      <c r="N65">
        <v>0.1</v>
      </c>
      <c r="O65" t="s">
        <v>22</v>
      </c>
      <c r="P65" t="s">
        <v>57</v>
      </c>
      <c r="S65" s="2"/>
    </row>
    <row r="66" spans="1:19" x14ac:dyDescent="0.3">
      <c r="A66" t="s">
        <v>220</v>
      </c>
      <c r="B66" s="2">
        <v>46290</v>
      </c>
      <c r="C66" t="s">
        <v>124</v>
      </c>
      <c r="D66" t="s">
        <v>103</v>
      </c>
      <c r="E66" t="s">
        <v>75</v>
      </c>
      <c r="F66" t="s">
        <v>76</v>
      </c>
      <c r="G66" t="s">
        <v>48</v>
      </c>
      <c r="H66" t="s">
        <v>21</v>
      </c>
      <c r="I66">
        <v>4</v>
      </c>
      <c r="J66">
        <v>7480</v>
      </c>
      <c r="K66">
        <v>5546.51</v>
      </c>
      <c r="L66">
        <f t="shared" si="4"/>
        <v>1933.4899999999998</v>
      </c>
      <c r="M66" s="5">
        <f t="shared" ref="M66:M97" si="5">IFERROR(L66/J66,0)</f>
        <v>0.25848796791443845</v>
      </c>
      <c r="N66">
        <v>0.15</v>
      </c>
      <c r="O66" t="s">
        <v>22</v>
      </c>
      <c r="P66" t="s">
        <v>23</v>
      </c>
      <c r="S66" s="2"/>
    </row>
    <row r="67" spans="1:19" x14ac:dyDescent="0.3">
      <c r="A67" t="s">
        <v>222</v>
      </c>
      <c r="B67" s="2">
        <v>46073</v>
      </c>
      <c r="C67" t="s">
        <v>51</v>
      </c>
      <c r="D67" t="s">
        <v>27</v>
      </c>
      <c r="E67" t="s">
        <v>96</v>
      </c>
      <c r="F67" t="s">
        <v>19</v>
      </c>
      <c r="G67" t="s">
        <v>68</v>
      </c>
      <c r="H67" t="s">
        <v>21</v>
      </c>
      <c r="I67">
        <v>2</v>
      </c>
      <c r="J67">
        <v>50400</v>
      </c>
      <c r="K67">
        <v>40785.67</v>
      </c>
      <c r="L67">
        <f t="shared" ref="L67:L98" si="6">J67-K67</f>
        <v>9614.3300000000017</v>
      </c>
      <c r="M67" s="5">
        <f t="shared" si="5"/>
        <v>0.1907605158730159</v>
      </c>
      <c r="N67">
        <v>0.1</v>
      </c>
      <c r="O67" t="s">
        <v>22</v>
      </c>
      <c r="P67" t="s">
        <v>57</v>
      </c>
      <c r="S67" s="2"/>
    </row>
    <row r="68" spans="1:19" x14ac:dyDescent="0.3">
      <c r="A68" t="s">
        <v>224</v>
      </c>
      <c r="B68" s="2">
        <v>46251</v>
      </c>
      <c r="C68" t="s">
        <v>127</v>
      </c>
      <c r="D68" t="s">
        <v>80</v>
      </c>
      <c r="E68" t="s">
        <v>75</v>
      </c>
      <c r="F68" t="s">
        <v>76</v>
      </c>
      <c r="G68" t="s">
        <v>68</v>
      </c>
      <c r="H68" t="s">
        <v>42</v>
      </c>
      <c r="I68">
        <v>4</v>
      </c>
      <c r="J68">
        <v>6600</v>
      </c>
      <c r="K68">
        <v>6250.9</v>
      </c>
      <c r="L68">
        <f t="shared" si="6"/>
        <v>349.10000000000036</v>
      </c>
      <c r="M68" s="5">
        <f t="shared" si="5"/>
        <v>5.2893939393939451E-2</v>
      </c>
      <c r="N68">
        <v>0.25</v>
      </c>
      <c r="O68" t="s">
        <v>81</v>
      </c>
      <c r="P68" t="s">
        <v>31</v>
      </c>
      <c r="S68" s="2"/>
    </row>
    <row r="69" spans="1:19" x14ac:dyDescent="0.3">
      <c r="A69" t="s">
        <v>226</v>
      </c>
      <c r="B69" s="2">
        <v>46255</v>
      </c>
      <c r="C69" t="s">
        <v>228</v>
      </c>
      <c r="D69" t="s">
        <v>27</v>
      </c>
      <c r="E69" t="s">
        <v>28</v>
      </c>
      <c r="F69" t="s">
        <v>19</v>
      </c>
      <c r="G69" t="s">
        <v>29</v>
      </c>
      <c r="H69" t="s">
        <v>30</v>
      </c>
      <c r="I69">
        <v>2</v>
      </c>
      <c r="J69">
        <v>2160</v>
      </c>
      <c r="K69">
        <v>1830.51</v>
      </c>
      <c r="L69">
        <f t="shared" si="6"/>
        <v>329.49</v>
      </c>
      <c r="M69" s="5">
        <f t="shared" si="5"/>
        <v>0.15254166666666666</v>
      </c>
      <c r="N69">
        <v>0.1</v>
      </c>
      <c r="O69" t="s">
        <v>22</v>
      </c>
      <c r="P69" t="s">
        <v>57</v>
      </c>
      <c r="S69" s="2"/>
    </row>
    <row r="70" spans="1:19" x14ac:dyDescent="0.3">
      <c r="A70" t="s">
        <v>229</v>
      </c>
      <c r="B70" s="2">
        <v>46099</v>
      </c>
      <c r="C70" t="s">
        <v>106</v>
      </c>
      <c r="D70" t="s">
        <v>61</v>
      </c>
      <c r="E70" t="s">
        <v>53</v>
      </c>
      <c r="F70" t="s">
        <v>41</v>
      </c>
      <c r="G70" t="s">
        <v>48</v>
      </c>
      <c r="H70" t="s">
        <v>42</v>
      </c>
      <c r="I70">
        <v>2</v>
      </c>
      <c r="J70">
        <v>18000</v>
      </c>
      <c r="K70">
        <v>10189.84</v>
      </c>
      <c r="L70">
        <f t="shared" si="6"/>
        <v>7810.16</v>
      </c>
      <c r="M70" s="5">
        <f t="shared" si="5"/>
        <v>0.43389777777777777</v>
      </c>
      <c r="N70">
        <v>0</v>
      </c>
      <c r="O70" t="s">
        <v>22</v>
      </c>
      <c r="P70" t="s">
        <v>90</v>
      </c>
      <c r="S70" s="2"/>
    </row>
    <row r="71" spans="1:19" x14ac:dyDescent="0.3">
      <c r="A71" t="s">
        <v>231</v>
      </c>
      <c r="B71" s="2">
        <v>46178</v>
      </c>
      <c r="C71" t="s">
        <v>79</v>
      </c>
      <c r="D71" t="s">
        <v>17</v>
      </c>
      <c r="E71" t="s">
        <v>75</v>
      </c>
      <c r="F71" t="s">
        <v>76</v>
      </c>
      <c r="G71" t="s">
        <v>20</v>
      </c>
      <c r="H71" t="s">
        <v>42</v>
      </c>
      <c r="I71">
        <v>3</v>
      </c>
      <c r="J71">
        <v>5280</v>
      </c>
      <c r="K71">
        <v>4592.25</v>
      </c>
      <c r="L71">
        <f t="shared" si="6"/>
        <v>687.75</v>
      </c>
      <c r="M71" s="5">
        <f t="shared" si="5"/>
        <v>0.13025568181818181</v>
      </c>
      <c r="N71">
        <v>0.2</v>
      </c>
      <c r="O71" t="s">
        <v>81</v>
      </c>
      <c r="P71" t="s">
        <v>31</v>
      </c>
      <c r="S71" s="2"/>
    </row>
    <row r="72" spans="1:19" x14ac:dyDescent="0.3">
      <c r="A72" t="s">
        <v>233</v>
      </c>
      <c r="B72" s="2">
        <v>46151</v>
      </c>
      <c r="C72" t="s">
        <v>235</v>
      </c>
      <c r="D72" t="s">
        <v>80</v>
      </c>
      <c r="E72" t="s">
        <v>18</v>
      </c>
      <c r="F72" t="s">
        <v>19</v>
      </c>
      <c r="G72" t="s">
        <v>48</v>
      </c>
      <c r="H72" t="s">
        <v>21</v>
      </c>
      <c r="I72">
        <v>1</v>
      </c>
      <c r="J72">
        <v>61750</v>
      </c>
      <c r="K72">
        <v>52631.54</v>
      </c>
      <c r="L72">
        <f t="shared" si="6"/>
        <v>9118.4599999999991</v>
      </c>
      <c r="M72" s="5">
        <f t="shared" si="5"/>
        <v>0.14766736842105263</v>
      </c>
      <c r="N72">
        <v>0.05</v>
      </c>
      <c r="O72" t="s">
        <v>22</v>
      </c>
      <c r="P72" t="s">
        <v>57</v>
      </c>
      <c r="S72" s="2"/>
    </row>
    <row r="73" spans="1:19" x14ac:dyDescent="0.3">
      <c r="A73" t="s">
        <v>236</v>
      </c>
      <c r="B73" s="2">
        <v>46263</v>
      </c>
      <c r="C73" t="s">
        <v>124</v>
      </c>
      <c r="D73" t="s">
        <v>103</v>
      </c>
      <c r="E73" t="s">
        <v>92</v>
      </c>
      <c r="F73" t="s">
        <v>47</v>
      </c>
      <c r="G73" t="s">
        <v>29</v>
      </c>
      <c r="H73" t="s">
        <v>30</v>
      </c>
      <c r="I73">
        <v>4</v>
      </c>
      <c r="J73">
        <v>6480</v>
      </c>
      <c r="K73">
        <v>4312.8100000000004</v>
      </c>
      <c r="L73">
        <f t="shared" si="6"/>
        <v>2167.1899999999996</v>
      </c>
      <c r="M73" s="5">
        <f t="shared" si="5"/>
        <v>0.33444290123456782</v>
      </c>
      <c r="N73">
        <v>0.1</v>
      </c>
      <c r="O73" t="s">
        <v>22</v>
      </c>
      <c r="P73" t="s">
        <v>31</v>
      </c>
      <c r="S73" s="2"/>
    </row>
    <row r="74" spans="1:19" x14ac:dyDescent="0.3">
      <c r="A74" t="s">
        <v>238</v>
      </c>
      <c r="B74" s="2">
        <v>46232</v>
      </c>
      <c r="C74" t="s">
        <v>51</v>
      </c>
      <c r="D74" t="s">
        <v>35</v>
      </c>
      <c r="E74" t="s">
        <v>40</v>
      </c>
      <c r="F74" t="s">
        <v>41</v>
      </c>
      <c r="G74" t="s">
        <v>29</v>
      </c>
      <c r="H74" t="s">
        <v>21</v>
      </c>
      <c r="I74">
        <v>3</v>
      </c>
      <c r="J74">
        <v>27000</v>
      </c>
      <c r="K74">
        <v>20816.71</v>
      </c>
      <c r="L74">
        <f t="shared" si="6"/>
        <v>6183.2900000000009</v>
      </c>
      <c r="M74" s="5">
        <f t="shared" si="5"/>
        <v>0.22901074074074076</v>
      </c>
      <c r="N74">
        <v>0.25</v>
      </c>
      <c r="O74" t="s">
        <v>22</v>
      </c>
      <c r="P74" t="s">
        <v>31</v>
      </c>
      <c r="S74" s="2"/>
    </row>
    <row r="75" spans="1:19" x14ac:dyDescent="0.3">
      <c r="A75" t="s">
        <v>240</v>
      </c>
      <c r="B75" s="2">
        <v>46228</v>
      </c>
      <c r="C75" t="s">
        <v>64</v>
      </c>
      <c r="D75" t="s">
        <v>35</v>
      </c>
      <c r="E75" t="s">
        <v>92</v>
      </c>
      <c r="F75" t="s">
        <v>47</v>
      </c>
      <c r="G75" t="s">
        <v>20</v>
      </c>
      <c r="H75" t="s">
        <v>42</v>
      </c>
      <c r="I75">
        <v>1</v>
      </c>
      <c r="J75">
        <v>1530</v>
      </c>
      <c r="K75">
        <v>1032.8</v>
      </c>
      <c r="L75">
        <f t="shared" si="6"/>
        <v>497.20000000000005</v>
      </c>
      <c r="M75" s="5">
        <f t="shared" si="5"/>
        <v>0.32496732026143793</v>
      </c>
      <c r="N75">
        <v>0.15</v>
      </c>
      <c r="O75" t="s">
        <v>22</v>
      </c>
      <c r="P75" t="s">
        <v>23</v>
      </c>
      <c r="S75" s="2"/>
    </row>
    <row r="76" spans="1:19" x14ac:dyDescent="0.3">
      <c r="A76" t="s">
        <v>242</v>
      </c>
      <c r="B76" s="2">
        <v>46259</v>
      </c>
      <c r="C76" t="s">
        <v>74</v>
      </c>
      <c r="D76" t="s">
        <v>39</v>
      </c>
      <c r="E76" t="s">
        <v>75</v>
      </c>
      <c r="F76" t="s">
        <v>76</v>
      </c>
      <c r="G76" t="s">
        <v>29</v>
      </c>
      <c r="H76" t="s">
        <v>30</v>
      </c>
      <c r="I76">
        <v>1</v>
      </c>
      <c r="J76">
        <v>2090</v>
      </c>
      <c r="K76">
        <v>1517.95</v>
      </c>
      <c r="L76">
        <f t="shared" si="6"/>
        <v>572.04999999999995</v>
      </c>
      <c r="M76" s="5">
        <f t="shared" si="5"/>
        <v>0.27370813397129184</v>
      </c>
      <c r="N76">
        <v>0.05</v>
      </c>
      <c r="O76" t="s">
        <v>22</v>
      </c>
      <c r="P76" t="s">
        <v>31</v>
      </c>
      <c r="S76" s="2"/>
    </row>
    <row r="77" spans="1:19" x14ac:dyDescent="0.3">
      <c r="A77" t="s">
        <v>243</v>
      </c>
      <c r="B77" s="2">
        <v>46090</v>
      </c>
      <c r="C77" t="s">
        <v>26</v>
      </c>
      <c r="D77" t="s">
        <v>27</v>
      </c>
      <c r="E77" t="s">
        <v>53</v>
      </c>
      <c r="F77" t="s">
        <v>41</v>
      </c>
      <c r="G77" t="s">
        <v>68</v>
      </c>
      <c r="H77" t="s">
        <v>42</v>
      </c>
      <c r="I77">
        <v>4</v>
      </c>
      <c r="J77">
        <v>27000</v>
      </c>
      <c r="K77">
        <v>24511.4</v>
      </c>
      <c r="L77">
        <f t="shared" si="6"/>
        <v>2488.5999999999985</v>
      </c>
      <c r="M77" s="5">
        <f t="shared" si="5"/>
        <v>9.2170370370370319E-2</v>
      </c>
      <c r="N77">
        <v>0.25</v>
      </c>
      <c r="O77" t="s">
        <v>22</v>
      </c>
      <c r="P77" t="s">
        <v>23</v>
      </c>
      <c r="S77" s="2"/>
    </row>
    <row r="78" spans="1:19" x14ac:dyDescent="0.3">
      <c r="A78" t="s">
        <v>245</v>
      </c>
      <c r="B78" s="2">
        <v>46231</v>
      </c>
      <c r="C78" t="s">
        <v>102</v>
      </c>
      <c r="D78" t="s">
        <v>65</v>
      </c>
      <c r="E78" t="s">
        <v>28</v>
      </c>
      <c r="F78" t="s">
        <v>19</v>
      </c>
      <c r="G78" t="s">
        <v>29</v>
      </c>
      <c r="H78" t="s">
        <v>21</v>
      </c>
      <c r="I78">
        <v>2</v>
      </c>
      <c r="J78">
        <v>2400</v>
      </c>
      <c r="K78">
        <v>1619.02</v>
      </c>
      <c r="L78">
        <f t="shared" si="6"/>
        <v>780.98</v>
      </c>
      <c r="M78" s="5">
        <f t="shared" si="5"/>
        <v>0.32540833333333335</v>
      </c>
      <c r="N78">
        <v>0</v>
      </c>
      <c r="O78" t="s">
        <v>22</v>
      </c>
      <c r="P78" t="s">
        <v>31</v>
      </c>
      <c r="S78" s="2"/>
    </row>
    <row r="79" spans="1:19" x14ac:dyDescent="0.3">
      <c r="A79" t="s">
        <v>247</v>
      </c>
      <c r="B79" s="2">
        <v>46235</v>
      </c>
      <c r="C79" t="s">
        <v>71</v>
      </c>
      <c r="D79" t="s">
        <v>103</v>
      </c>
      <c r="E79" t="s">
        <v>66</v>
      </c>
      <c r="F79" t="s">
        <v>67</v>
      </c>
      <c r="G79" t="s">
        <v>68</v>
      </c>
      <c r="H79" t="s">
        <v>21</v>
      </c>
      <c r="I79">
        <v>4</v>
      </c>
      <c r="J79">
        <v>17100</v>
      </c>
      <c r="K79">
        <v>12119.98</v>
      </c>
      <c r="L79">
        <f t="shared" si="6"/>
        <v>4980.0200000000004</v>
      </c>
      <c r="M79" s="5">
        <f t="shared" si="5"/>
        <v>0.29122923976608189</v>
      </c>
      <c r="N79">
        <v>0.05</v>
      </c>
      <c r="O79" t="s">
        <v>22</v>
      </c>
      <c r="P79" t="s">
        <v>57</v>
      </c>
      <c r="S79" s="2"/>
    </row>
    <row r="80" spans="1:19" x14ac:dyDescent="0.3">
      <c r="A80" t="s">
        <v>249</v>
      </c>
      <c r="B80" s="2">
        <v>46058</v>
      </c>
      <c r="C80" t="s">
        <v>164</v>
      </c>
      <c r="D80" t="s">
        <v>61</v>
      </c>
      <c r="E80" t="s">
        <v>53</v>
      </c>
      <c r="F80" t="s">
        <v>41</v>
      </c>
      <c r="G80" t="s">
        <v>20</v>
      </c>
      <c r="H80" t="s">
        <v>42</v>
      </c>
      <c r="I80">
        <v>4</v>
      </c>
      <c r="J80">
        <v>32400</v>
      </c>
      <c r="K80">
        <v>28880.89</v>
      </c>
      <c r="L80">
        <f t="shared" si="6"/>
        <v>3519.1100000000006</v>
      </c>
      <c r="M80" s="5">
        <f t="shared" si="5"/>
        <v>0.10861450617283952</v>
      </c>
      <c r="N80">
        <v>0.1</v>
      </c>
      <c r="O80" t="s">
        <v>81</v>
      </c>
      <c r="P80" t="s">
        <v>31</v>
      </c>
      <c r="S80" s="2"/>
    </row>
    <row r="81" spans="1:19" x14ac:dyDescent="0.3">
      <c r="A81" t="s">
        <v>251</v>
      </c>
      <c r="B81" s="2">
        <v>46273</v>
      </c>
      <c r="C81" t="s">
        <v>161</v>
      </c>
      <c r="D81" t="s">
        <v>103</v>
      </c>
      <c r="E81" t="s">
        <v>36</v>
      </c>
      <c r="F81" t="s">
        <v>19</v>
      </c>
      <c r="G81" t="s">
        <v>29</v>
      </c>
      <c r="H81" t="s">
        <v>42</v>
      </c>
      <c r="I81">
        <v>4</v>
      </c>
      <c r="J81">
        <v>11200</v>
      </c>
      <c r="K81">
        <v>9530.81</v>
      </c>
      <c r="L81">
        <f t="shared" si="6"/>
        <v>1669.1900000000005</v>
      </c>
      <c r="M81" s="5">
        <f t="shared" si="5"/>
        <v>0.14903482142857147</v>
      </c>
      <c r="N81">
        <v>0.2</v>
      </c>
      <c r="O81" t="s">
        <v>22</v>
      </c>
      <c r="P81" t="s">
        <v>57</v>
      </c>
      <c r="S81" s="2"/>
    </row>
    <row r="82" spans="1:19" x14ac:dyDescent="0.3">
      <c r="A82" t="s">
        <v>254</v>
      </c>
      <c r="B82" s="2">
        <v>46276</v>
      </c>
      <c r="C82" t="s">
        <v>161</v>
      </c>
      <c r="D82" t="s">
        <v>17</v>
      </c>
      <c r="E82" t="s">
        <v>18</v>
      </c>
      <c r="F82" t="s">
        <v>19</v>
      </c>
      <c r="G82" t="s">
        <v>29</v>
      </c>
      <c r="H82" t="s">
        <v>30</v>
      </c>
      <c r="I82">
        <v>2</v>
      </c>
      <c r="J82">
        <v>104000</v>
      </c>
      <c r="K82">
        <v>105383.91</v>
      </c>
      <c r="L82">
        <f t="shared" si="6"/>
        <v>-1383.9100000000035</v>
      </c>
      <c r="M82" s="5">
        <f t="shared" si="5"/>
        <v>-1.3306826923076956E-2</v>
      </c>
      <c r="N82">
        <v>0.2</v>
      </c>
      <c r="O82" t="s">
        <v>22</v>
      </c>
      <c r="P82" t="s">
        <v>90</v>
      </c>
      <c r="S82" s="2"/>
    </row>
    <row r="83" spans="1:19" x14ac:dyDescent="0.3">
      <c r="A83" t="s">
        <v>256</v>
      </c>
      <c r="B83" s="2">
        <v>46030</v>
      </c>
      <c r="C83" t="s">
        <v>121</v>
      </c>
      <c r="D83" t="s">
        <v>39</v>
      </c>
      <c r="E83" t="s">
        <v>36</v>
      </c>
      <c r="F83" t="s">
        <v>19</v>
      </c>
      <c r="G83" t="s">
        <v>48</v>
      </c>
      <c r="H83" t="s">
        <v>42</v>
      </c>
      <c r="I83">
        <v>4</v>
      </c>
      <c r="J83">
        <v>10500</v>
      </c>
      <c r="K83">
        <v>11366.44</v>
      </c>
      <c r="L83">
        <f t="shared" si="6"/>
        <v>-866.44000000000051</v>
      </c>
      <c r="M83" s="5">
        <f t="shared" si="5"/>
        <v>-8.2518095238095293E-2</v>
      </c>
      <c r="N83">
        <v>0.25</v>
      </c>
      <c r="O83" t="s">
        <v>22</v>
      </c>
      <c r="P83" t="s">
        <v>90</v>
      </c>
      <c r="S83" s="2"/>
    </row>
    <row r="84" spans="1:19" x14ac:dyDescent="0.3">
      <c r="A84" t="s">
        <v>257</v>
      </c>
      <c r="B84" s="2">
        <v>46064</v>
      </c>
      <c r="C84" t="s">
        <v>228</v>
      </c>
      <c r="D84" t="s">
        <v>39</v>
      </c>
      <c r="E84" t="s">
        <v>40</v>
      </c>
      <c r="F84" t="s">
        <v>41</v>
      </c>
      <c r="G84" t="s">
        <v>20</v>
      </c>
      <c r="H84" t="s">
        <v>21</v>
      </c>
      <c r="I84">
        <v>5</v>
      </c>
      <c r="J84">
        <v>51000</v>
      </c>
      <c r="K84">
        <v>48457.06</v>
      </c>
      <c r="L84">
        <f t="shared" si="6"/>
        <v>2542.9400000000023</v>
      </c>
      <c r="M84" s="5">
        <f t="shared" si="5"/>
        <v>4.9861568627451024E-2</v>
      </c>
      <c r="N84">
        <v>0.15</v>
      </c>
      <c r="O84" t="s">
        <v>22</v>
      </c>
      <c r="P84" t="s">
        <v>57</v>
      </c>
      <c r="S84" s="2"/>
    </row>
    <row r="85" spans="1:19" x14ac:dyDescent="0.3">
      <c r="A85" t="s">
        <v>262</v>
      </c>
      <c r="B85" s="2">
        <v>46037</v>
      </c>
      <c r="C85" t="s">
        <v>181</v>
      </c>
      <c r="D85" t="s">
        <v>103</v>
      </c>
      <c r="E85" t="s">
        <v>18</v>
      </c>
      <c r="F85" t="s">
        <v>19</v>
      </c>
      <c r="G85" t="s">
        <v>68</v>
      </c>
      <c r="H85" t="s">
        <v>30</v>
      </c>
      <c r="I85">
        <v>3</v>
      </c>
      <c r="J85">
        <v>195000</v>
      </c>
      <c r="K85">
        <v>122695.81</v>
      </c>
      <c r="L85">
        <f t="shared" si="6"/>
        <v>72304.19</v>
      </c>
      <c r="M85" s="5">
        <f t="shared" si="5"/>
        <v>0.37079071794871798</v>
      </c>
      <c r="N85">
        <v>0</v>
      </c>
      <c r="O85" t="s">
        <v>22</v>
      </c>
      <c r="P85" t="s">
        <v>90</v>
      </c>
      <c r="S85" s="2"/>
    </row>
    <row r="86" spans="1:19" x14ac:dyDescent="0.3">
      <c r="A86" t="s">
        <v>264</v>
      </c>
      <c r="B86" s="2">
        <v>46115</v>
      </c>
      <c r="C86" t="s">
        <v>60</v>
      </c>
      <c r="D86" t="s">
        <v>27</v>
      </c>
      <c r="E86" t="s">
        <v>36</v>
      </c>
      <c r="F86" t="s">
        <v>19</v>
      </c>
      <c r="G86" t="s">
        <v>29</v>
      </c>
      <c r="H86" t="s">
        <v>21</v>
      </c>
      <c r="I86">
        <v>2</v>
      </c>
      <c r="J86">
        <v>7000</v>
      </c>
      <c r="K86">
        <v>5001.9399999999996</v>
      </c>
      <c r="L86">
        <f t="shared" si="6"/>
        <v>1998.0600000000004</v>
      </c>
      <c r="M86" s="5">
        <f t="shared" si="5"/>
        <v>0.28543714285714289</v>
      </c>
      <c r="N86">
        <v>0</v>
      </c>
      <c r="O86" t="s">
        <v>22</v>
      </c>
      <c r="P86" t="s">
        <v>57</v>
      </c>
      <c r="S86" s="2"/>
    </row>
    <row r="87" spans="1:19" x14ac:dyDescent="0.3">
      <c r="A87" t="s">
        <v>266</v>
      </c>
      <c r="B87" s="2">
        <v>46259</v>
      </c>
      <c r="C87" t="s">
        <v>87</v>
      </c>
      <c r="D87" t="s">
        <v>39</v>
      </c>
      <c r="E87" t="s">
        <v>53</v>
      </c>
      <c r="F87" t="s">
        <v>41</v>
      </c>
      <c r="G87" t="s">
        <v>48</v>
      </c>
      <c r="H87" t="s">
        <v>21</v>
      </c>
      <c r="I87">
        <v>4</v>
      </c>
      <c r="J87">
        <v>32400</v>
      </c>
      <c r="K87">
        <v>26281.69</v>
      </c>
      <c r="L87">
        <f t="shared" si="6"/>
        <v>6118.3100000000013</v>
      </c>
      <c r="M87" s="5">
        <f t="shared" si="5"/>
        <v>0.18883672839506177</v>
      </c>
      <c r="N87">
        <v>0.1</v>
      </c>
      <c r="O87" t="s">
        <v>22</v>
      </c>
      <c r="P87" t="s">
        <v>57</v>
      </c>
      <c r="S87" s="2"/>
    </row>
    <row r="88" spans="1:19" x14ac:dyDescent="0.3">
      <c r="A88" t="s">
        <v>267</v>
      </c>
      <c r="B88" s="2">
        <v>46060</v>
      </c>
      <c r="C88" t="s">
        <v>156</v>
      </c>
      <c r="D88" t="s">
        <v>61</v>
      </c>
      <c r="E88" t="s">
        <v>66</v>
      </c>
      <c r="F88" t="s">
        <v>67</v>
      </c>
      <c r="G88" t="s">
        <v>29</v>
      </c>
      <c r="H88" t="s">
        <v>42</v>
      </c>
      <c r="I88">
        <v>3</v>
      </c>
      <c r="J88">
        <v>10800</v>
      </c>
      <c r="K88">
        <v>8515.42</v>
      </c>
      <c r="L88">
        <f t="shared" si="6"/>
        <v>2284.58</v>
      </c>
      <c r="M88" s="5">
        <f t="shared" si="5"/>
        <v>0.21153518518518519</v>
      </c>
      <c r="N88">
        <v>0.2</v>
      </c>
      <c r="O88" t="s">
        <v>22</v>
      </c>
      <c r="P88" t="s">
        <v>90</v>
      </c>
      <c r="S88" s="2"/>
    </row>
    <row r="89" spans="1:19" x14ac:dyDescent="0.3">
      <c r="A89" t="s">
        <v>270</v>
      </c>
      <c r="B89" s="2">
        <v>46163</v>
      </c>
      <c r="C89" t="s">
        <v>119</v>
      </c>
      <c r="D89" t="s">
        <v>39</v>
      </c>
      <c r="E89" t="s">
        <v>18</v>
      </c>
      <c r="F89" t="s">
        <v>19</v>
      </c>
      <c r="G89" t="s">
        <v>48</v>
      </c>
      <c r="H89" t="s">
        <v>30</v>
      </c>
      <c r="I89">
        <v>5</v>
      </c>
      <c r="J89">
        <v>243750</v>
      </c>
      <c r="K89">
        <v>247046.84</v>
      </c>
      <c r="L89">
        <f t="shared" si="6"/>
        <v>-3296.8399999999965</v>
      </c>
      <c r="M89" s="5">
        <f t="shared" si="5"/>
        <v>-1.3525497435897421E-2</v>
      </c>
      <c r="N89">
        <v>0.25</v>
      </c>
      <c r="O89" t="s">
        <v>22</v>
      </c>
      <c r="P89" t="s">
        <v>31</v>
      </c>
      <c r="S89" s="2"/>
    </row>
    <row r="90" spans="1:19" ht="15" thickBot="1" x14ac:dyDescent="0.35"/>
    <row r="91" spans="1:19" ht="15" thickBot="1" x14ac:dyDescent="0.35">
      <c r="J91" s="23" t="s">
        <v>291</v>
      </c>
      <c r="K91" s="23"/>
      <c r="L91" s="7">
        <f>IFERROR(SUM(J2:J89)/SUM(L2:L89),0)</f>
        <v>4.3881131915418639</v>
      </c>
    </row>
    <row r="99" spans="10:11" x14ac:dyDescent="0.3">
      <c r="K99" s="5"/>
    </row>
    <row r="102" spans="10:11" x14ac:dyDescent="0.3">
      <c r="J102" t="s">
        <v>289</v>
      </c>
    </row>
  </sheetData>
  <mergeCells count="1">
    <mergeCell ref="J91:K91"/>
  </mergeCells>
  <conditionalFormatting sqref="A1:A1048576">
    <cfRule type="duplicateValues" dxfId="1" priority="2"/>
  </conditionalFormatting>
  <conditionalFormatting sqref="M1:M1048576">
    <cfRule type="cellIs" dxfId="0" priority="1" operator="lessThan">
      <formula>0</formula>
    </cfRule>
  </conditionalFormatting>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Raw_Data</vt:lpstr>
      <vt:lpstr>Project_Guide</vt:lpstr>
      <vt:lpstr>Monthly sales and profit analys</vt:lpstr>
      <vt:lpstr>Analyse monthly performance</vt:lpstr>
      <vt:lpstr>Discount impact analysis</vt:lpstr>
      <vt:lpstr>Regional Performance</vt:lpstr>
      <vt:lpstr>Product Performance</vt: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2026-10-07T05:42:00Z</dcterms:created>
  <dcterms:modified xsi:type="dcterms:W3CDTF">2026-10-18T10:43:09Z</dcterms:modified>
</cp:coreProperties>
</file>